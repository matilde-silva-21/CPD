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ilizador\Desktop\CPD\g10\assign1\doc\test_results\"/>
    </mc:Choice>
  </mc:AlternateContent>
  <xr:revisionPtr revIDLastSave="0" documentId="13_ncr:1_{958701C6-344F-45F7-8C2A-657B46735CDD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OnMult_test" sheetId="1" r:id="rId1"/>
    <sheet name="OnMultLine_test" sheetId="3" r:id="rId2"/>
    <sheet name="OnMultBlock_test" sheetId="5" r:id="rId3"/>
    <sheet name="Mult vs MultLine" sheetId="4" r:id="rId4"/>
    <sheet name="LineVsBlock" sheetId="6" r:id="rId5"/>
    <sheet name="Lua vs C++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5" l="1"/>
  <c r="S8" i="5"/>
  <c r="S7" i="5"/>
  <c r="S6" i="5"/>
  <c r="N12" i="5"/>
  <c r="N11" i="5"/>
  <c r="N10" i="5"/>
  <c r="N9" i="5"/>
  <c r="N6" i="5"/>
  <c r="N5" i="5"/>
  <c r="N4" i="5"/>
  <c r="N3" i="5"/>
  <c r="N12" i="3"/>
  <c r="N11" i="3"/>
  <c r="N10" i="3"/>
  <c r="N9" i="3"/>
  <c r="N8" i="3"/>
  <c r="N7" i="3"/>
  <c r="N6" i="3"/>
  <c r="N5" i="3"/>
  <c r="N4" i="3"/>
  <c r="N3" i="3"/>
  <c r="N2" i="3"/>
  <c r="N8" i="1"/>
  <c r="N7" i="1"/>
  <c r="N6" i="1"/>
  <c r="N5" i="1"/>
  <c r="N4" i="1"/>
  <c r="N3" i="1"/>
  <c r="N2" i="1"/>
  <c r="M12" i="5"/>
  <c r="M11" i="5"/>
  <c r="M10" i="5"/>
  <c r="M9" i="5"/>
  <c r="R9" i="5"/>
  <c r="R8" i="5"/>
  <c r="R7" i="5"/>
  <c r="R6" i="5"/>
  <c r="M6" i="5"/>
  <c r="M5" i="5"/>
  <c r="M4" i="5"/>
  <c r="M3" i="5"/>
  <c r="L5" i="5"/>
  <c r="L4" i="5"/>
  <c r="L3" i="5"/>
  <c r="L12" i="5"/>
  <c r="K12" i="5"/>
  <c r="J12" i="5"/>
  <c r="L11" i="5"/>
  <c r="K11" i="5"/>
  <c r="J11" i="5"/>
  <c r="L10" i="5"/>
  <c r="K10" i="5"/>
  <c r="J10" i="5"/>
  <c r="L9" i="5"/>
  <c r="K9" i="5"/>
  <c r="J9" i="5"/>
  <c r="Q9" i="5"/>
  <c r="P9" i="5"/>
  <c r="O9" i="5"/>
  <c r="Q8" i="5"/>
  <c r="P8" i="5"/>
  <c r="O8" i="5"/>
  <c r="Q7" i="5"/>
  <c r="P7" i="5"/>
  <c r="O7" i="5"/>
  <c r="Q6" i="5"/>
  <c r="P6" i="5"/>
  <c r="O6" i="5"/>
  <c r="L6" i="5"/>
  <c r="K6" i="5"/>
  <c r="K5" i="5"/>
  <c r="K4" i="5"/>
  <c r="K3" i="5"/>
  <c r="J6" i="5"/>
  <c r="J5" i="5"/>
  <c r="J4" i="5"/>
  <c r="J3" i="5"/>
  <c r="F58" i="3"/>
  <c r="M12" i="3" s="1"/>
  <c r="E58" i="3"/>
  <c r="L12" i="3" s="1"/>
  <c r="D58" i="3"/>
  <c r="K12" i="3" s="1"/>
  <c r="C58" i="3"/>
  <c r="B58" i="3"/>
  <c r="F54" i="3"/>
  <c r="E54" i="3"/>
  <c r="D54" i="3"/>
  <c r="C54" i="3"/>
  <c r="J11" i="3" s="1"/>
  <c r="B54" i="3"/>
  <c r="F50" i="3"/>
  <c r="M10" i="3" s="1"/>
  <c r="E50" i="3"/>
  <c r="L10" i="3" s="1"/>
  <c r="D50" i="3"/>
  <c r="C50" i="3"/>
  <c r="J10" i="3" s="1"/>
  <c r="B50" i="3"/>
  <c r="F46" i="3"/>
  <c r="E46" i="3"/>
  <c r="L9" i="3" s="1"/>
  <c r="D46" i="3"/>
  <c r="C46" i="3"/>
  <c r="B46" i="3"/>
  <c r="F42" i="3"/>
  <c r="E42" i="3"/>
  <c r="D42" i="3"/>
  <c r="C42" i="3"/>
  <c r="B42" i="3"/>
  <c r="I8" i="3" s="1"/>
  <c r="F36" i="3"/>
  <c r="M7" i="3" s="1"/>
  <c r="E36" i="3"/>
  <c r="D36" i="3"/>
  <c r="C36" i="3"/>
  <c r="B36" i="3"/>
  <c r="I7" i="3" s="1"/>
  <c r="F30" i="3"/>
  <c r="E30" i="3"/>
  <c r="L6" i="3" s="1"/>
  <c r="D30" i="3"/>
  <c r="K6" i="3" s="1"/>
  <c r="C30" i="3"/>
  <c r="J6" i="3" s="1"/>
  <c r="B30" i="3"/>
  <c r="I6" i="3" s="1"/>
  <c r="F24" i="3"/>
  <c r="M5" i="3" s="1"/>
  <c r="E24" i="3"/>
  <c r="D24" i="3"/>
  <c r="C24" i="3"/>
  <c r="B24" i="3"/>
  <c r="F18" i="3"/>
  <c r="M4" i="3" s="1"/>
  <c r="E18" i="3"/>
  <c r="L4" i="3" s="1"/>
  <c r="D18" i="3"/>
  <c r="K4" i="3" s="1"/>
  <c r="C18" i="3"/>
  <c r="J4" i="3" s="1"/>
  <c r="B18" i="3"/>
  <c r="J12" i="3"/>
  <c r="I12" i="3"/>
  <c r="F12" i="3"/>
  <c r="M3" i="3" s="1"/>
  <c r="E12" i="3"/>
  <c r="D12" i="3"/>
  <c r="C12" i="3"/>
  <c r="B12" i="3"/>
  <c r="M11" i="3"/>
  <c r="L11" i="3"/>
  <c r="K11" i="3"/>
  <c r="I11" i="3"/>
  <c r="K10" i="3"/>
  <c r="I10" i="3"/>
  <c r="M9" i="3"/>
  <c r="K9" i="3"/>
  <c r="J9" i="3"/>
  <c r="I9" i="3"/>
  <c r="M8" i="3"/>
  <c r="L8" i="3"/>
  <c r="K8" i="3"/>
  <c r="J8" i="3"/>
  <c r="L7" i="3"/>
  <c r="K7" i="3"/>
  <c r="J7" i="3"/>
  <c r="M6" i="3"/>
  <c r="F6" i="3"/>
  <c r="M2" i="3" s="1"/>
  <c r="E6" i="3"/>
  <c r="L2" i="3" s="1"/>
  <c r="D6" i="3"/>
  <c r="K2" i="3" s="1"/>
  <c r="C6" i="3"/>
  <c r="J2" i="3" s="1"/>
  <c r="B6" i="3"/>
  <c r="L5" i="3"/>
  <c r="K5" i="3"/>
  <c r="J5" i="3"/>
  <c r="I5" i="3"/>
  <c r="I4" i="3"/>
  <c r="L3" i="3"/>
  <c r="K3" i="3"/>
  <c r="J3" i="3"/>
  <c r="I3" i="3"/>
  <c r="I2" i="3"/>
  <c r="M1" i="3"/>
  <c r="L1" i="3"/>
  <c r="K1" i="3"/>
  <c r="J1" i="3"/>
  <c r="M8" i="1"/>
  <c r="M7" i="1"/>
  <c r="M2" i="1"/>
  <c r="M1" i="1"/>
  <c r="L1" i="1"/>
  <c r="K8" i="1"/>
  <c r="K3" i="1"/>
  <c r="K1" i="1"/>
  <c r="J8" i="1"/>
  <c r="J3" i="1"/>
  <c r="J1" i="1"/>
  <c r="I8" i="1"/>
  <c r="I5" i="1"/>
  <c r="I3" i="1"/>
  <c r="I2" i="1"/>
  <c r="F42" i="1"/>
  <c r="E42" i="1"/>
  <c r="L8" i="1" s="1"/>
  <c r="D42" i="1"/>
  <c r="C42" i="1"/>
  <c r="B42" i="1"/>
  <c r="F36" i="1"/>
  <c r="E36" i="1"/>
  <c r="L7" i="1" s="1"/>
  <c r="D36" i="1"/>
  <c r="K7" i="1" s="1"/>
  <c r="C36" i="1"/>
  <c r="J7" i="1" s="1"/>
  <c r="B36" i="1"/>
  <c r="I7" i="1" s="1"/>
  <c r="F30" i="1"/>
  <c r="M6" i="1" s="1"/>
  <c r="E30" i="1"/>
  <c r="L6" i="1" s="1"/>
  <c r="D30" i="1"/>
  <c r="K6" i="1" s="1"/>
  <c r="C30" i="1"/>
  <c r="J6" i="1" s="1"/>
  <c r="B30" i="1"/>
  <c r="I6" i="1" s="1"/>
  <c r="F24" i="1"/>
  <c r="M5" i="1" s="1"/>
  <c r="E24" i="1"/>
  <c r="L5" i="1" s="1"/>
  <c r="D24" i="1"/>
  <c r="K5" i="1" s="1"/>
  <c r="C24" i="1"/>
  <c r="J5" i="1" s="1"/>
  <c r="B24" i="1"/>
  <c r="F18" i="1"/>
  <c r="M4" i="1" s="1"/>
  <c r="E18" i="1"/>
  <c r="L4" i="1" s="1"/>
  <c r="D18" i="1"/>
  <c r="K4" i="1" s="1"/>
  <c r="C18" i="1"/>
  <c r="J4" i="1" s="1"/>
  <c r="B18" i="1"/>
  <c r="I4" i="1" s="1"/>
  <c r="F12" i="1"/>
  <c r="M3" i="1" s="1"/>
  <c r="E12" i="1"/>
  <c r="L3" i="1" s="1"/>
  <c r="D12" i="1"/>
  <c r="C12" i="1"/>
  <c r="B12" i="1"/>
  <c r="F6" i="1"/>
  <c r="E6" i="1"/>
  <c r="L2" i="1" s="1"/>
  <c r="D6" i="1"/>
  <c r="K2" i="1" s="1"/>
  <c r="C6" i="1"/>
  <c r="J2" i="1" s="1"/>
  <c r="B6" i="1"/>
</calcChain>
</file>

<file path=xl/sharedStrings.xml><?xml version="1.0" encoding="utf-8"?>
<sst xmlns="http://schemas.openxmlformats.org/spreadsheetml/2006/main" count="215" uniqueCount="14">
  <si>
    <t>Matrix Size</t>
  </si>
  <si>
    <t>Execution Time</t>
  </si>
  <si>
    <t>L1 DCM</t>
  </si>
  <si>
    <t>L2 DCM</t>
  </si>
  <si>
    <t>L2 DCA</t>
  </si>
  <si>
    <t>DP_OPS</t>
  </si>
  <si>
    <t>M_Size</t>
  </si>
  <si>
    <t>Exec Time</t>
  </si>
  <si>
    <t>Lua</t>
  </si>
  <si>
    <t>Block Size</t>
  </si>
  <si>
    <t>ExecT</t>
  </si>
  <si>
    <t>L1DCM</t>
  </si>
  <si>
    <t>L2DCM</t>
  </si>
  <si>
    <t>FLOPS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</si>
</sst>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7">
    <xf numFmtId="0" fontId="0" fillId="0" borderId="0" xfId="0"/>
    <xf numFmtId="0" fontId="0" fillId="33" borderId="0" xfId="0" applyFill="1"/>
    <xf numFmtId="0" fontId="18" fillId="0" borderId="0" xfId="42"/>
    <xf numFmtId="164" fontId="0" fillId="0" borderId="0" xfId="0" applyNumberFormat="1"/>
    <xf numFmtId="164" fontId="18" fillId="0" borderId="0" xfId="42" applyNumberFormat="1"/>
    <xf numFmtId="0" fontId="0" fillId="34" borderId="0" xfId="0" applyFill="1"/>
    <xf numFmtId="11" fontId="0" fillId="0" borderId="0" xfId="0" applyNumberFormat="1"/>
  </cellXfs>
  <cellStyles count="43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rmal 2" xfId="42" xr:uid="{00000000-0005-0000-0000-000023000000}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1"/>
          <c:order val="2"/>
          <c:tx>
            <c:strRef>
              <c:f>OnMult_test!$M$1</c:f>
              <c:strCache>
                <c:ptCount val="1"/>
                <c:pt idx="0">
                  <c:v>DP_OPS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OnMult_test!$M$2:$M$8</c:f>
              <c:numCache>
                <c:formatCode>General</c:formatCode>
                <c:ptCount val="7"/>
                <c:pt idx="0">
                  <c:v>432000001</c:v>
                </c:pt>
                <c:pt idx="1">
                  <c:v>2000000001</c:v>
                </c:pt>
                <c:pt idx="2">
                  <c:v>5488000001</c:v>
                </c:pt>
                <c:pt idx="3">
                  <c:v>11664000001</c:v>
                </c:pt>
                <c:pt idx="4">
                  <c:v>21296000001</c:v>
                </c:pt>
                <c:pt idx="5">
                  <c:v>35152000001</c:v>
                </c:pt>
                <c:pt idx="6" formatCode="0.00E+00">
                  <c:v>54000000001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D1-43DC-9DB3-793F99E54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  <c:extLst>
          <c:ext xmlns:c15="http://schemas.microsoft.com/office/drawing/2012/chart" uri="{02D57815-91ED-43cb-92C2-25804820EDAC}">
            <c15:filteredLineSeries>
              <c15:ser>
                <c:idx val="7"/>
                <c:order val="0"/>
                <c:tx>
                  <c:v>Std Multi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6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C58D-4AF7-A84F-ABD1FB865F0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OnMult_test!$H$2:$H$8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600</c:v>
                      </c:pt>
                      <c:pt idx="1">
                        <c:v>1000</c:v>
                      </c:pt>
                      <c:pt idx="2">
                        <c:v>1400</c:v>
                      </c:pt>
                      <c:pt idx="3">
                        <c:v>1800</c:v>
                      </c:pt>
                      <c:pt idx="4">
                        <c:v>2200</c:v>
                      </c:pt>
                      <c:pt idx="5">
                        <c:v>2600</c:v>
                      </c:pt>
                      <c:pt idx="6">
                        <c:v>3000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OnMult_test!$I$2:$I$8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0.19552375</c:v>
                      </c:pt>
                      <c:pt idx="1">
                        <c:v>1.1694672499999998</c:v>
                      </c:pt>
                      <c:pt idx="2">
                        <c:v>3.4114805000000001</c:v>
                      </c:pt>
                      <c:pt idx="3">
                        <c:v>18.493413499999999</c:v>
                      </c:pt>
                      <c:pt idx="4">
                        <c:v>38.770039750000002</c:v>
                      </c:pt>
                      <c:pt idx="5">
                        <c:v>69.014061749999996</c:v>
                      </c:pt>
                      <c:pt idx="6" formatCode="0.0">
                        <c:v>115.33213599999999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C58D-4AF7-A84F-ABD1FB865F0F}"/>
                  </c:ext>
                </c:extLst>
              </c15:ser>
            </c15:filteredLineSeries>
            <c15:filteredLineSeries>
              <c15:ser>
                <c:idx val="0"/>
                <c:order val="1"/>
                <c:tx>
                  <c:v>Line Multi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C58D-4AF7-A84F-ABD1FB865F0F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OnMult_test!$H$2:$H$8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600</c:v>
                      </c:pt>
                      <c:pt idx="1">
                        <c:v>1000</c:v>
                      </c:pt>
                      <c:pt idx="2">
                        <c:v>1400</c:v>
                      </c:pt>
                      <c:pt idx="3">
                        <c:v>1800</c:v>
                      </c:pt>
                      <c:pt idx="4">
                        <c:v>2200</c:v>
                      </c:pt>
                      <c:pt idx="5">
                        <c:v>2600</c:v>
                      </c:pt>
                      <c:pt idx="6">
                        <c:v>3000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OnMultLine_test!$I$2:$I$8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0.10555125</c:v>
                      </c:pt>
                      <c:pt idx="1">
                        <c:v>0.54651675</c:v>
                      </c:pt>
                      <c:pt idx="2">
                        <c:v>1.7866230000000001</c:v>
                      </c:pt>
                      <c:pt idx="3">
                        <c:v>3.5071965000000001</c:v>
                      </c:pt>
                      <c:pt idx="4">
                        <c:v>6.3052667499999995</c:v>
                      </c:pt>
                      <c:pt idx="5">
                        <c:v>10.425101</c:v>
                      </c:pt>
                      <c:pt idx="6" formatCode="0.0">
                        <c:v>16.384390750000001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58D-4AF7-A84F-ABD1FB865F0F}"/>
                  </c:ext>
                </c:extLst>
              </c15:ser>
            </c15:filteredLineSeries>
          </c:ext>
        </c:extLst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DP_OPS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Matrix Multiplication vs Line 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Std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19-490B-8D76-42EF289493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OnMult_test!$I$2:$I$8</c:f>
              <c:numCache>
                <c:formatCode>General</c:formatCode>
                <c:ptCount val="7"/>
                <c:pt idx="0">
                  <c:v>0.19552375</c:v>
                </c:pt>
                <c:pt idx="1">
                  <c:v>1.1694672499999998</c:v>
                </c:pt>
                <c:pt idx="2">
                  <c:v>3.4114805000000001</c:v>
                </c:pt>
                <c:pt idx="3">
                  <c:v>18.493413499999999</c:v>
                </c:pt>
                <c:pt idx="4">
                  <c:v>38.770039750000002</c:v>
                </c:pt>
                <c:pt idx="5">
                  <c:v>69.014061749999996</c:v>
                </c:pt>
                <c:pt idx="6" formatCode="0.0">
                  <c:v>115.33213599999999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9-490B-8D76-42EF28949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v>Line Multi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0719-490B-8D76-42EF2894932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OnMultLine_test!$I$2:$I$8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0.10555125</c:v>
                      </c:pt>
                      <c:pt idx="1">
                        <c:v>0.54651675</c:v>
                      </c:pt>
                      <c:pt idx="2">
                        <c:v>1.7866230000000001</c:v>
                      </c:pt>
                      <c:pt idx="3">
                        <c:v>3.5071965000000001</c:v>
                      </c:pt>
                      <c:pt idx="4">
                        <c:v>6.3052667499999995</c:v>
                      </c:pt>
                      <c:pt idx="5">
                        <c:v>10.425101</c:v>
                      </c:pt>
                      <c:pt idx="6" formatCode="0.0">
                        <c:v>16.384390750000001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719-490B-8D76-42EF28949320}"/>
                  </c:ext>
                </c:extLst>
              </c15:ser>
            </c15:filteredLineSeries>
          </c:ext>
        </c:extLst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Line 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D3-408A-AD49-5E8F6B52F8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OnMultLine_test!$H$2:$H$8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OnMultLine_test!$M$2:$M$8</c:f>
              <c:numCache>
                <c:formatCode>General</c:formatCode>
                <c:ptCount val="7"/>
                <c:pt idx="0">
                  <c:v>432000001</c:v>
                </c:pt>
                <c:pt idx="1">
                  <c:v>2000000001</c:v>
                </c:pt>
                <c:pt idx="2">
                  <c:v>5488000001</c:v>
                </c:pt>
                <c:pt idx="3">
                  <c:v>11664000001</c:v>
                </c:pt>
                <c:pt idx="4">
                  <c:v>21296000001</c:v>
                </c:pt>
                <c:pt idx="5">
                  <c:v>35152000001</c:v>
                </c:pt>
                <c:pt idx="6" formatCode="0.00E+00">
                  <c:v>54000000001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3D3-408A-AD49-5E8F6B52F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  <c:extLst>
          <c:ext xmlns:c15="http://schemas.microsoft.com/office/drawing/2012/chart" uri="{02D57815-91ED-43cb-92C2-25804820EDAC}">
            <c15:filteredLineSeries>
              <c15:ser>
                <c:idx val="7"/>
                <c:order val="0"/>
                <c:tx>
                  <c:v>Std Multi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6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73D3-408A-AD49-5E8F6B52F88B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OnMultLine_test!$H$2:$H$8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600</c:v>
                      </c:pt>
                      <c:pt idx="1">
                        <c:v>1000</c:v>
                      </c:pt>
                      <c:pt idx="2">
                        <c:v>1400</c:v>
                      </c:pt>
                      <c:pt idx="3">
                        <c:v>1800</c:v>
                      </c:pt>
                      <c:pt idx="4">
                        <c:v>2200</c:v>
                      </c:pt>
                      <c:pt idx="5">
                        <c:v>2600</c:v>
                      </c:pt>
                      <c:pt idx="6">
                        <c:v>3000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OnMult_test!$I$2:$I$8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0.19552375</c:v>
                      </c:pt>
                      <c:pt idx="1">
                        <c:v>1.1694672499999998</c:v>
                      </c:pt>
                      <c:pt idx="2">
                        <c:v>3.4114805000000001</c:v>
                      </c:pt>
                      <c:pt idx="3">
                        <c:v>18.493413499999999</c:v>
                      </c:pt>
                      <c:pt idx="4">
                        <c:v>38.770039750000002</c:v>
                      </c:pt>
                      <c:pt idx="5">
                        <c:v>69.014061749999996</c:v>
                      </c:pt>
                      <c:pt idx="6" formatCode="0.0">
                        <c:v>115.33213599999999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3D3-408A-AD49-5E8F6B52F88B}"/>
                  </c:ext>
                </c:extLst>
              </c15:ser>
            </c15:filteredLineSeries>
          </c:ext>
        </c:extLst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Line 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1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9-432A-954D-767A0869A0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OnMultLine_test!$H$2:$H$8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OnMultLine_test!$I$2:$I$8</c:f>
              <c:numCache>
                <c:formatCode>General</c:formatCode>
                <c:ptCount val="7"/>
                <c:pt idx="0">
                  <c:v>0.10555125</c:v>
                </c:pt>
                <c:pt idx="1">
                  <c:v>0.54651675</c:v>
                </c:pt>
                <c:pt idx="2">
                  <c:v>1.7866230000000001</c:v>
                </c:pt>
                <c:pt idx="3">
                  <c:v>3.5071965000000001</c:v>
                </c:pt>
                <c:pt idx="4">
                  <c:v>6.3052667499999995</c:v>
                </c:pt>
                <c:pt idx="5">
                  <c:v>10.425101</c:v>
                </c:pt>
                <c:pt idx="6" formatCode="0.0">
                  <c:v>16.384390750000001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979-432A-954D-767A0869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  <c:extLst>
          <c:ext xmlns:c15="http://schemas.microsoft.com/office/drawing/2012/chart" uri="{02D57815-91ED-43cb-92C2-25804820EDAC}">
            <c15:filteredLineSeries>
              <c15:ser>
                <c:idx val="7"/>
                <c:order val="0"/>
                <c:tx>
                  <c:v>Std Multi</c:v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6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4979-432A-954D-767A0869A0AA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OnMultLine_test!$H$2:$H$8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600</c:v>
                      </c:pt>
                      <c:pt idx="1">
                        <c:v>1000</c:v>
                      </c:pt>
                      <c:pt idx="2">
                        <c:v>1400</c:v>
                      </c:pt>
                      <c:pt idx="3">
                        <c:v>1800</c:v>
                      </c:pt>
                      <c:pt idx="4">
                        <c:v>2200</c:v>
                      </c:pt>
                      <c:pt idx="5">
                        <c:v>2600</c:v>
                      </c:pt>
                      <c:pt idx="6">
                        <c:v>3000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OnMult_test!$I$2:$I$8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0.19552375</c:v>
                      </c:pt>
                      <c:pt idx="1">
                        <c:v>1.1694672499999998</c:v>
                      </c:pt>
                      <c:pt idx="2">
                        <c:v>3.4114805000000001</c:v>
                      </c:pt>
                      <c:pt idx="3">
                        <c:v>18.493413499999999</c:v>
                      </c:pt>
                      <c:pt idx="4">
                        <c:v>38.770039750000002</c:v>
                      </c:pt>
                      <c:pt idx="5">
                        <c:v>69.014061749999996</c:v>
                      </c:pt>
                      <c:pt idx="6" formatCode="0.0">
                        <c:v>115.33213599999999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4979-432A-954D-767A0869A0AA}"/>
                  </c:ext>
                </c:extLst>
              </c15:ser>
            </c15:filteredLineSeries>
          </c:ext>
        </c:extLst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Block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128 Block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0E-4EC8-9CCD-43B7B71CC6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OnMultBlock_test!$J$3:$J$6</c:f>
              <c:numCache>
                <c:formatCode>General</c:formatCode>
                <c:ptCount val="4"/>
                <c:pt idx="0">
                  <c:v>35.880271</c:v>
                </c:pt>
                <c:pt idx="1">
                  <c:v>120.780978</c:v>
                </c:pt>
                <c:pt idx="2">
                  <c:v>285.986107</c:v>
                </c:pt>
                <c:pt idx="3" formatCode="0.0">
                  <c:v>556.01564399999995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0E-4EC8-9CCD-43B7B71CC64C}"/>
            </c:ext>
          </c:extLst>
        </c:ser>
        <c:ser>
          <c:idx val="1"/>
          <c:order val="1"/>
          <c:tx>
            <c:v>256 Block Multi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OnMultBlock_test!$O$6:$O$9</c:f>
              <c:numCache>
                <c:formatCode>General</c:formatCode>
                <c:ptCount val="4"/>
                <c:pt idx="0">
                  <c:v>32.898310000000002</c:v>
                </c:pt>
                <c:pt idx="1">
                  <c:v>111.42657199999999</c:v>
                </c:pt>
                <c:pt idx="2">
                  <c:v>399.63598300000001</c:v>
                </c:pt>
                <c:pt idx="3">
                  <c:v>514.11588600000005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10E-4EC8-9CCD-43B7B71CC64C}"/>
            </c:ext>
          </c:extLst>
        </c:ser>
        <c:ser>
          <c:idx val="2"/>
          <c:order val="3"/>
          <c:tx>
            <c:v>512 Block Multi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OnMultBlock_test!$J$9:$J$12</c:f>
              <c:numCache>
                <c:formatCode>General</c:formatCode>
                <c:ptCount val="4"/>
                <c:pt idx="0">
                  <c:v>39.378180999999998</c:v>
                </c:pt>
                <c:pt idx="1">
                  <c:v>108.37035299999999</c:v>
                </c:pt>
                <c:pt idx="2">
                  <c:v>339.74439699999999</c:v>
                </c:pt>
                <c:pt idx="3" formatCode="0.0">
                  <c:v>507.41968600000001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10E-4EC8-9CCD-43B7B71CC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v>Line Multi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dLbls>
                  <c:dLbl>
                    <c:idx val="6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110E-4EC8-9CCD-43B7B71CC64C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OnMultBlock_test!$I$9:$I$12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4096</c:v>
                      </c:pt>
                      <c:pt idx="1">
                        <c:v>6114</c:v>
                      </c:pt>
                      <c:pt idx="2">
                        <c:v>8192</c:v>
                      </c:pt>
                      <c:pt idx="3">
                        <c:v>10240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OnMultLine_test!$I$9:$I$12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41.180592000000004</c:v>
                      </c:pt>
                      <c:pt idx="1">
                        <c:v>139.34052550000001</c:v>
                      </c:pt>
                      <c:pt idx="2">
                        <c:v>328.03403350000002</c:v>
                      </c:pt>
                      <c:pt idx="3">
                        <c:v>641.85078499999997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110E-4EC8-9CCD-43B7B71CC64C}"/>
                  </c:ext>
                </c:extLst>
              </c15:ser>
            </c15:filteredLineSeries>
          </c:ext>
        </c:extLst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Block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128 Block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70-4A67-BA2C-E2DD261A5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OnMultBlock_test!$N$3:$N$6</c:f>
              <c:numCache>
                <c:formatCode>General</c:formatCode>
                <c:ptCount val="4"/>
                <c:pt idx="0">
                  <c:v>49013879.661053844</c:v>
                </c:pt>
                <c:pt idx="1">
                  <c:v>49370280.608259358</c:v>
                </c:pt>
                <c:pt idx="2">
                  <c:v>49629509.153044276</c:v>
                </c:pt>
                <c:pt idx="3">
                  <c:v>951062058.21072197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0-4A67-BA2C-E2DD261A5E1E}"/>
            </c:ext>
          </c:extLst>
        </c:ser>
        <c:ser>
          <c:idx val="1"/>
          <c:order val="1"/>
          <c:tx>
            <c:v>256 Block Multi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OnMultBlock_test!$S$6:$S$9</c:f>
              <c:numCache>
                <c:formatCode>General</c:formatCode>
                <c:ptCount val="4"/>
                <c:pt idx="0">
                  <c:v>34615058.58507625</c:v>
                </c:pt>
                <c:pt idx="1">
                  <c:v>34844031.565468967</c:v>
                </c:pt>
                <c:pt idx="2">
                  <c:v>24618523.082292117</c:v>
                </c:pt>
                <c:pt idx="3">
                  <c:v>711720765.04945803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0-4A67-BA2C-E2DD261A5E1E}"/>
            </c:ext>
          </c:extLst>
        </c:ser>
        <c:ser>
          <c:idx val="2"/>
          <c:order val="2"/>
          <c:tx>
            <c:v>512 Block Multi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OnMultBlock_test!$N$9:$N$12</c:f>
              <c:numCache>
                <c:formatCode>General</c:formatCode>
                <c:ptCount val="4"/>
                <c:pt idx="0">
                  <c:v>22438577.825623792</c:v>
                </c:pt>
                <c:pt idx="1">
                  <c:v>24209793.733900636</c:v>
                </c:pt>
                <c:pt idx="2">
                  <c:v>20774209.739211682</c:v>
                </c:pt>
                <c:pt idx="3">
                  <c:v>605367384.76480782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70-4A67-BA2C-E2DD261A5E1E}"/>
            </c:ext>
          </c:extLst>
        </c:ser>
        <c:ser>
          <c:idx val="0"/>
          <c:order val="3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70-4A67-BA2C-E2DD261A5E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  <c:extLst xmlns:c15="http://schemas.microsoft.com/office/drawing/2012/chart"/>
            </c:numRef>
          </c:cat>
          <c:val>
            <c:numRef>
              <c:f>OnMultLine_test!$N$9:$N$12</c:f>
              <c:numCache>
                <c:formatCode>General</c:formatCode>
                <c:ptCount val="4"/>
                <c:pt idx="0">
                  <c:v>3337469103.7224522</c:v>
                </c:pt>
                <c:pt idx="1">
                  <c:v>3328941571.7683649</c:v>
                </c:pt>
                <c:pt idx="2">
                  <c:v>3351821809.6019597</c:v>
                </c:pt>
                <c:pt idx="3">
                  <c:v>3345767736.3454499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D870-4A67-BA2C-E2DD261A5E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  <c:extLst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FLOPS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Matrix Multiplication vs Line 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Naive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EB-4FDD-9E82-172D6B25A0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OnMult_test!$I$2:$I$8</c:f>
              <c:numCache>
                <c:formatCode>General</c:formatCode>
                <c:ptCount val="7"/>
                <c:pt idx="0">
                  <c:v>0.19552375</c:v>
                </c:pt>
                <c:pt idx="1">
                  <c:v>1.1694672499999998</c:v>
                </c:pt>
                <c:pt idx="2">
                  <c:v>3.4114805000000001</c:v>
                </c:pt>
                <c:pt idx="3">
                  <c:v>18.493413499999999</c:v>
                </c:pt>
                <c:pt idx="4">
                  <c:v>38.770039750000002</c:v>
                </c:pt>
                <c:pt idx="5">
                  <c:v>69.014061749999996</c:v>
                </c:pt>
                <c:pt idx="6" formatCode="0.0">
                  <c:v>115.33213599999999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EB-4FDD-9E82-172D6B25A02F}"/>
            </c:ext>
          </c:extLst>
        </c:ser>
        <c:ser>
          <c:idx val="0"/>
          <c:order val="1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EB-4FDD-9E82-172D6B25A0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OnMultLine_test!$I$2:$I$8</c:f>
              <c:numCache>
                <c:formatCode>General</c:formatCode>
                <c:ptCount val="7"/>
                <c:pt idx="0">
                  <c:v>0.10555125</c:v>
                </c:pt>
                <c:pt idx="1">
                  <c:v>0.54651675</c:v>
                </c:pt>
                <c:pt idx="2">
                  <c:v>1.7866230000000001</c:v>
                </c:pt>
                <c:pt idx="3">
                  <c:v>3.5071965000000001</c:v>
                </c:pt>
                <c:pt idx="4">
                  <c:v>6.3052667499999995</c:v>
                </c:pt>
                <c:pt idx="5">
                  <c:v>10.425101</c:v>
                </c:pt>
                <c:pt idx="6" formatCode="0.0">
                  <c:v>16.384390750000001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EB-4FDD-9E82-172D6B25A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Matrix Multiplication vs Line 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Naive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E7-4D90-963E-B0FF6A7480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OnMult_test!$J$2:$J$8</c:f>
              <c:numCache>
                <c:formatCode>General</c:formatCode>
                <c:ptCount val="7"/>
                <c:pt idx="0">
                  <c:v>244796973.25</c:v>
                </c:pt>
                <c:pt idx="1">
                  <c:v>1223005575.25</c:v>
                </c:pt>
                <c:pt idx="2">
                  <c:v>3520159638.25</c:v>
                </c:pt>
                <c:pt idx="3">
                  <c:v>9077755294.5</c:v>
                </c:pt>
                <c:pt idx="4">
                  <c:v>17619805265</c:v>
                </c:pt>
                <c:pt idx="5">
                  <c:v>30873023235</c:v>
                </c:pt>
                <c:pt idx="6" formatCode="0.00E+00">
                  <c:v>50304525755.5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E7-4D90-963E-B0FF6A74808A}"/>
            </c:ext>
          </c:extLst>
        </c:ser>
        <c:ser>
          <c:idx val="0"/>
          <c:order val="1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E7-4D90-963E-B0FF6A7480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OnMultLine_test!$J$2:$J$8</c:f>
              <c:numCache>
                <c:formatCode>General</c:formatCode>
                <c:ptCount val="7"/>
                <c:pt idx="0">
                  <c:v>27108125.75</c:v>
                </c:pt>
                <c:pt idx="1">
                  <c:v>125706758.5</c:v>
                </c:pt>
                <c:pt idx="2">
                  <c:v>345958415</c:v>
                </c:pt>
                <c:pt idx="3">
                  <c:v>744696247</c:v>
                </c:pt>
                <c:pt idx="4">
                  <c:v>2073618799.25</c:v>
                </c:pt>
                <c:pt idx="5">
                  <c:v>4412369269.75</c:v>
                </c:pt>
                <c:pt idx="6" formatCode="0.00E+00">
                  <c:v>6779645265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E7-4D90-963E-B0FF6A748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L1 DCM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Matrix Multiplication vs Line 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Naive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AB2-4EE1-8CED-45893E951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OnMult_test!$K$2:$K$8</c:f>
              <c:numCache>
                <c:formatCode>General</c:formatCode>
                <c:ptCount val="7"/>
                <c:pt idx="0">
                  <c:v>40165931.75</c:v>
                </c:pt>
                <c:pt idx="1">
                  <c:v>296478883.25</c:v>
                </c:pt>
                <c:pt idx="2">
                  <c:v>1509482428.25</c:v>
                </c:pt>
                <c:pt idx="3">
                  <c:v>7746005156.5</c:v>
                </c:pt>
                <c:pt idx="4">
                  <c:v>23135012566.25</c:v>
                </c:pt>
                <c:pt idx="5">
                  <c:v>50917701655.25</c:v>
                </c:pt>
                <c:pt idx="6" formatCode="0.00E+00">
                  <c:v>95768232544.5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2-4EE1-8CED-45893E951D65}"/>
            </c:ext>
          </c:extLst>
        </c:ser>
        <c:ser>
          <c:idx val="0"/>
          <c:order val="1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AB2-4EE1-8CED-45893E951D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OnMultLine_test!$K$2:$K$8</c:f>
              <c:numCache>
                <c:formatCode>General</c:formatCode>
                <c:ptCount val="7"/>
                <c:pt idx="0">
                  <c:v>58112304.5</c:v>
                </c:pt>
                <c:pt idx="1">
                  <c:v>262810051.25</c:v>
                </c:pt>
                <c:pt idx="2">
                  <c:v>690664587.25</c:v>
                </c:pt>
                <c:pt idx="3">
                  <c:v>1443626804</c:v>
                </c:pt>
                <c:pt idx="4">
                  <c:v>2578741987</c:v>
                </c:pt>
                <c:pt idx="5">
                  <c:v>4209055053</c:v>
                </c:pt>
                <c:pt idx="6" formatCode="0.00E+00">
                  <c:v>6384477767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2-4EE1-8CED-45893E951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baseline="0">
                    <a:effectLst/>
                  </a:rPr>
                  <a:t>L2  DCM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Matrix Multiplication vs Line 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Naive Multi L1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layout>
                <c:manualLayout>
                  <c:x val="-6.3256325632563351E-2"/>
                  <c:y val="-3.65079302339202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51-4625-84D8-1376BE132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OnMult_test!$J$2:$J$8</c:f>
              <c:numCache>
                <c:formatCode>General</c:formatCode>
                <c:ptCount val="7"/>
                <c:pt idx="0">
                  <c:v>244796973.25</c:v>
                </c:pt>
                <c:pt idx="1">
                  <c:v>1223005575.25</c:v>
                </c:pt>
                <c:pt idx="2">
                  <c:v>3520159638.25</c:v>
                </c:pt>
                <c:pt idx="3">
                  <c:v>9077755294.5</c:v>
                </c:pt>
                <c:pt idx="4">
                  <c:v>17619805265</c:v>
                </c:pt>
                <c:pt idx="5">
                  <c:v>30873023235</c:v>
                </c:pt>
                <c:pt idx="6" formatCode="0.00E+00">
                  <c:v>50304525755.5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51-4625-84D8-1376BE132FF0}"/>
            </c:ext>
          </c:extLst>
        </c:ser>
        <c:ser>
          <c:idx val="1"/>
          <c:order val="1"/>
          <c:tx>
            <c:v>Naive Multi L2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651-4625-84D8-1376BE132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OnMult_test!$K$2:$K$8</c:f>
              <c:numCache>
                <c:formatCode>General</c:formatCode>
                <c:ptCount val="7"/>
                <c:pt idx="0">
                  <c:v>40165931.75</c:v>
                </c:pt>
                <c:pt idx="1">
                  <c:v>296478883.25</c:v>
                </c:pt>
                <c:pt idx="2">
                  <c:v>1509482428.25</c:v>
                </c:pt>
                <c:pt idx="3">
                  <c:v>7746005156.5</c:v>
                </c:pt>
                <c:pt idx="4">
                  <c:v>23135012566.25</c:v>
                </c:pt>
                <c:pt idx="5">
                  <c:v>50917701655.25</c:v>
                </c:pt>
                <c:pt idx="6" formatCode="0.00E+00">
                  <c:v>95768232544.5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51-4625-84D8-1376BE132FF0}"/>
            </c:ext>
          </c:extLst>
        </c:ser>
        <c:ser>
          <c:idx val="0"/>
          <c:order val="2"/>
          <c:tx>
            <c:v>Line Multi L1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651-4625-84D8-1376BE132F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OnMultLine_test!$J$2:$J$8</c:f>
              <c:numCache>
                <c:formatCode>General</c:formatCode>
                <c:ptCount val="7"/>
                <c:pt idx="0">
                  <c:v>27108125.75</c:v>
                </c:pt>
                <c:pt idx="1">
                  <c:v>125706758.5</c:v>
                </c:pt>
                <c:pt idx="2">
                  <c:v>345958415</c:v>
                </c:pt>
                <c:pt idx="3">
                  <c:v>744696247</c:v>
                </c:pt>
                <c:pt idx="4">
                  <c:v>2073618799.25</c:v>
                </c:pt>
                <c:pt idx="5">
                  <c:v>4412369269.75</c:v>
                </c:pt>
                <c:pt idx="6" formatCode="0.00E+00">
                  <c:v>6779645265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51-4625-84D8-1376BE132FF0}"/>
            </c:ext>
          </c:extLst>
        </c:ser>
        <c:ser>
          <c:idx val="2"/>
          <c:order val="3"/>
          <c:tx>
            <c:v>Line Multi L2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OnMultLine_test!$K$2:$K$8</c:f>
              <c:numCache>
                <c:formatCode>General</c:formatCode>
                <c:ptCount val="7"/>
                <c:pt idx="0">
                  <c:v>58112304.5</c:v>
                </c:pt>
                <c:pt idx="1">
                  <c:v>262810051.25</c:v>
                </c:pt>
                <c:pt idx="2">
                  <c:v>690664587.25</c:v>
                </c:pt>
                <c:pt idx="3">
                  <c:v>1443626804</c:v>
                </c:pt>
                <c:pt idx="4">
                  <c:v>2578741987</c:v>
                </c:pt>
                <c:pt idx="5">
                  <c:v>4209055053</c:v>
                </c:pt>
                <c:pt idx="6" formatCode="0.00E+00">
                  <c:v>6384477767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51-4625-84D8-1376BE13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DCM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Matrix Multiplication vs Line Matrix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Naive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24-4E9C-9E87-72AD64C938BF}"/>
                </c:ext>
              </c:extLst>
            </c:dLbl>
            <c:numFmt formatCode="0.00E+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OnMult_test!$N$2:$N$8</c:f>
              <c:numCache>
                <c:formatCode>General</c:formatCode>
                <c:ptCount val="7"/>
                <c:pt idx="0">
                  <c:v>2209450263.714766</c:v>
                </c:pt>
                <c:pt idx="1">
                  <c:v>1710180427.0277772</c:v>
                </c:pt>
                <c:pt idx="2">
                  <c:v>1608685730.7260001</c:v>
                </c:pt>
                <c:pt idx="3">
                  <c:v>630711036.7158556</c:v>
                </c:pt>
                <c:pt idx="4">
                  <c:v>549290125.52792132</c:v>
                </c:pt>
                <c:pt idx="5">
                  <c:v>509345474.09101021</c:v>
                </c:pt>
                <c:pt idx="6">
                  <c:v>468212953.24834704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24-4E9C-9E87-72AD64C938BF}"/>
            </c:ext>
          </c:extLst>
        </c:ser>
        <c:ser>
          <c:idx val="0"/>
          <c:order val="1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24-4E9C-9E87-72AD64C938BF}"/>
                </c:ext>
              </c:extLst>
            </c:dLbl>
            <c:numFmt formatCode="0.00E+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OnMultLine_test!$N$2:$N$8</c:f>
              <c:numCache>
                <c:formatCode>General</c:formatCode>
                <c:ptCount val="7"/>
                <c:pt idx="0">
                  <c:v>4092798531.5190487</c:v>
                </c:pt>
                <c:pt idx="1">
                  <c:v>3659540171.4586058</c:v>
                </c:pt>
                <c:pt idx="2">
                  <c:v>3071716865.2815952</c:v>
                </c:pt>
                <c:pt idx="3">
                  <c:v>3325733246.1982098</c:v>
                </c:pt>
                <c:pt idx="4">
                  <c:v>3377493902.3793087</c:v>
                </c:pt>
                <c:pt idx="5">
                  <c:v>3371861817.0701656</c:v>
                </c:pt>
                <c:pt idx="6">
                  <c:v>3295819833.9477468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24-4E9C-9E87-72AD64C93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tickMarkSkip val="1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FLOPS/s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E+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Block Multiplication vs Line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A86-4021-9055-143CCCF91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OnMultLine_test!$I$9:$I$12</c:f>
              <c:numCache>
                <c:formatCode>General</c:formatCode>
                <c:ptCount val="4"/>
                <c:pt idx="0">
                  <c:v>41.180592000000004</c:v>
                </c:pt>
                <c:pt idx="1">
                  <c:v>139.34052550000001</c:v>
                </c:pt>
                <c:pt idx="2">
                  <c:v>328.03403350000002</c:v>
                </c:pt>
                <c:pt idx="3">
                  <c:v>641.85078499999997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86-4021-9055-143CCCF919C1}"/>
            </c:ext>
          </c:extLst>
        </c:ser>
        <c:ser>
          <c:idx val="7"/>
          <c:order val="1"/>
          <c:tx>
            <c:v>128 Block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A86-4021-9055-143CCCF919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OnMultBlock_test!$J$3:$J$6</c:f>
              <c:numCache>
                <c:formatCode>General</c:formatCode>
                <c:ptCount val="4"/>
                <c:pt idx="0">
                  <c:v>35.880271</c:v>
                </c:pt>
                <c:pt idx="1">
                  <c:v>120.780978</c:v>
                </c:pt>
                <c:pt idx="2">
                  <c:v>285.986107</c:v>
                </c:pt>
                <c:pt idx="3" formatCode="0.0">
                  <c:v>556.01564399999995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86-4021-9055-143CCCF919C1}"/>
            </c:ext>
          </c:extLst>
        </c:ser>
        <c:ser>
          <c:idx val="1"/>
          <c:order val="2"/>
          <c:tx>
            <c:v>256 Block Multi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OnMultBlock_test!$O$6:$O$9</c:f>
              <c:numCache>
                <c:formatCode>General</c:formatCode>
                <c:ptCount val="4"/>
                <c:pt idx="0">
                  <c:v>32.898310000000002</c:v>
                </c:pt>
                <c:pt idx="1">
                  <c:v>111.42657199999999</c:v>
                </c:pt>
                <c:pt idx="2">
                  <c:v>399.63598300000001</c:v>
                </c:pt>
                <c:pt idx="3">
                  <c:v>514.11588600000005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86-4021-9055-143CCCF919C1}"/>
            </c:ext>
          </c:extLst>
        </c:ser>
        <c:ser>
          <c:idx val="2"/>
          <c:order val="3"/>
          <c:tx>
            <c:v>512 Block Multi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OnMultBlock_test!$J$9:$J$12</c:f>
              <c:numCache>
                <c:formatCode>General</c:formatCode>
                <c:ptCount val="4"/>
                <c:pt idx="0">
                  <c:v>39.378180999999998</c:v>
                </c:pt>
                <c:pt idx="1">
                  <c:v>108.37035299999999</c:v>
                </c:pt>
                <c:pt idx="2">
                  <c:v>339.74439699999999</c:v>
                </c:pt>
                <c:pt idx="3" formatCode="0.0">
                  <c:v>507.41968600000001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86-4021-9055-143CCCF91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Block Multiplication vs Line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DA-4C72-B388-382F92846B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OnMultLine_test!$J$9:$J$12</c:f>
              <c:numCache>
                <c:formatCode>General</c:formatCode>
                <c:ptCount val="4"/>
                <c:pt idx="0">
                  <c:v>17531827639</c:v>
                </c:pt>
                <c:pt idx="1">
                  <c:v>59108387260</c:v>
                </c:pt>
                <c:pt idx="2">
                  <c:v>140042345851</c:v>
                </c:pt>
                <c:pt idx="3">
                  <c:v>273396452881.5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DA-4C72-B388-382F92846B2A}"/>
            </c:ext>
          </c:extLst>
        </c:ser>
        <c:ser>
          <c:idx val="7"/>
          <c:order val="1"/>
          <c:tx>
            <c:v>128 Block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ADA-4C72-B388-382F92846B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OnMultBlock_test!$K$3:$K$6</c:f>
              <c:numCache>
                <c:formatCode>General</c:formatCode>
                <c:ptCount val="4"/>
                <c:pt idx="0">
                  <c:v>9930296769</c:v>
                </c:pt>
                <c:pt idx="1">
                  <c:v>33524708788</c:v>
                </c:pt>
                <c:pt idx="2">
                  <c:v>79474494275</c:v>
                </c:pt>
                <c:pt idx="3" formatCode="0.00E+00">
                  <c:v>155189676861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DA-4C72-B388-382F92846B2A}"/>
            </c:ext>
          </c:extLst>
        </c:ser>
        <c:ser>
          <c:idx val="1"/>
          <c:order val="2"/>
          <c:tx>
            <c:v>256 Block Multi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OnMultBlock_test!$P$6:$P$9</c:f>
              <c:numCache>
                <c:formatCode>General</c:formatCode>
                <c:ptCount val="4"/>
                <c:pt idx="0">
                  <c:v>9145163778</c:v>
                </c:pt>
                <c:pt idx="1">
                  <c:v>30870250933</c:v>
                </c:pt>
                <c:pt idx="2">
                  <c:v>73362665145</c:v>
                </c:pt>
                <c:pt idx="3">
                  <c:v>142900735125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DA-4C72-B388-382F92846B2A}"/>
            </c:ext>
          </c:extLst>
        </c:ser>
        <c:ser>
          <c:idx val="2"/>
          <c:order val="3"/>
          <c:tx>
            <c:v>512 Block Multi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OnMultBlock_test!$K$9:$K$12</c:f>
              <c:numCache>
                <c:formatCode>General</c:formatCode>
                <c:ptCount val="4"/>
                <c:pt idx="0">
                  <c:v>8757499739</c:v>
                </c:pt>
                <c:pt idx="1">
                  <c:v>29616352112</c:v>
                </c:pt>
                <c:pt idx="2">
                  <c:v>70205237625</c:v>
                </c:pt>
                <c:pt idx="3" formatCode="0.00E+00">
                  <c:v>136887781941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ADA-4C72-B388-382F92846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L1 DCM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Block Multiplication vs Line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128 Block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9BE-403F-ABB1-2D8341D17C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OnMultBlock_test!$L$3:$L$6</c:f>
              <c:numCache>
                <c:formatCode>General</c:formatCode>
                <c:ptCount val="4"/>
                <c:pt idx="0">
                  <c:v>33373492234</c:v>
                </c:pt>
                <c:pt idx="1">
                  <c:v>114168542071</c:v>
                </c:pt>
                <c:pt idx="2">
                  <c:v>270278893418</c:v>
                </c:pt>
                <c:pt idx="3" formatCode="0.00E+00">
                  <c:v>528805382780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BE-403F-ABB1-2D8341D17C46}"/>
            </c:ext>
          </c:extLst>
        </c:ser>
        <c:ser>
          <c:idx val="1"/>
          <c:order val="1"/>
          <c:tx>
            <c:v>256 Block Multi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OnMultBlock_test!$Q$6:$Q$9</c:f>
              <c:numCache>
                <c:formatCode>General</c:formatCode>
                <c:ptCount val="4"/>
                <c:pt idx="0">
                  <c:v>23236856608</c:v>
                </c:pt>
                <c:pt idx="1">
                  <c:v>78945517963</c:v>
                </c:pt>
                <c:pt idx="2">
                  <c:v>160793515495</c:v>
                </c:pt>
                <c:pt idx="3">
                  <c:v>365906951708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BE-403F-ABB1-2D8341D17C46}"/>
            </c:ext>
          </c:extLst>
        </c:ser>
        <c:ser>
          <c:idx val="0"/>
          <c:order val="2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9BE-403F-ABB1-2D8341D17C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OnMultLine_test!$K$9:$K$12</c:f>
              <c:numCache>
                <c:formatCode>General</c:formatCode>
                <c:ptCount val="4"/>
                <c:pt idx="0">
                  <c:v>15928967085.5</c:v>
                </c:pt>
                <c:pt idx="1">
                  <c:v>53313029947</c:v>
                </c:pt>
                <c:pt idx="2">
                  <c:v>128684238001</c:v>
                </c:pt>
                <c:pt idx="3">
                  <c:v>251927454819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BE-403F-ABB1-2D8341D17C46}"/>
            </c:ext>
          </c:extLst>
        </c:ser>
        <c:ser>
          <c:idx val="2"/>
          <c:order val="3"/>
          <c:tx>
            <c:v>512 Block Multi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OnMultBlock_test!$L$9:$L$12</c:f>
              <c:numCache>
                <c:formatCode>General</c:formatCode>
                <c:ptCount val="4"/>
                <c:pt idx="0">
                  <c:v>19063212316</c:v>
                </c:pt>
                <c:pt idx="1">
                  <c:v>66431230599</c:v>
                </c:pt>
                <c:pt idx="2">
                  <c:v>134769215287</c:v>
                </c:pt>
                <c:pt idx="3" formatCode="0.00E+00">
                  <c:v>307175328292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BE-403F-ABB1-2D8341D17C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L2 DCM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300" baseline="0"/>
              <a:t>Line Multiplication vs Block Multiplication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128 Block Multi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7.3770491803278687E-2"/>
                  <c:y val="-5.1661812970924134E-2"/>
                </c:manualLayout>
              </c:layout>
              <c:numFmt formatCode="0.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5D9-4D44-8422-51123682F7A0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D9-4D44-8422-51123682F7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</c:numRef>
          </c:cat>
          <c:val>
            <c:numRef>
              <c:f>OnMultBlock_test!$N$3:$N$6</c:f>
              <c:numCache>
                <c:formatCode>General</c:formatCode>
                <c:ptCount val="4"/>
                <c:pt idx="0">
                  <c:v>49013879.661053844</c:v>
                </c:pt>
                <c:pt idx="1">
                  <c:v>49370280.608259358</c:v>
                </c:pt>
                <c:pt idx="2">
                  <c:v>49629509.153044276</c:v>
                </c:pt>
                <c:pt idx="3">
                  <c:v>951062058.21072197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D9-4D44-8422-51123682F7A0}"/>
            </c:ext>
          </c:extLst>
        </c:ser>
        <c:ser>
          <c:idx val="1"/>
          <c:order val="1"/>
          <c:tx>
            <c:v>256 Block Multi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1.092896174863388E-2"/>
                  <c:y val="-1.408958535570656E-2"/>
                </c:manualLayout>
              </c:layout>
              <c:numFmt formatCode="0.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5D9-4D44-8422-51123682F7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OnMultBlock_test!$S$6:$S$9</c:f>
              <c:numCache>
                <c:formatCode>General</c:formatCode>
                <c:ptCount val="4"/>
                <c:pt idx="0">
                  <c:v>34615058.58507625</c:v>
                </c:pt>
                <c:pt idx="1">
                  <c:v>34844031.565468967</c:v>
                </c:pt>
                <c:pt idx="2">
                  <c:v>24618523.082292117</c:v>
                </c:pt>
                <c:pt idx="3">
                  <c:v>711720765.04945803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D9-4D44-8422-51123682F7A0}"/>
            </c:ext>
          </c:extLst>
        </c:ser>
        <c:ser>
          <c:idx val="2"/>
          <c:order val="2"/>
          <c:tx>
            <c:v>512 Block Multi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6.8306010928961755E-2"/>
                  <c:y val="4.9313548744972957E-2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60371756809085"/>
                      <c:h val="6.0984606850644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E5D9-4D44-8422-51123682F7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OnMultBlock_test!$N$9:$N$12</c:f>
              <c:numCache>
                <c:formatCode>General</c:formatCode>
                <c:ptCount val="4"/>
                <c:pt idx="0">
                  <c:v>22438577.825623792</c:v>
                </c:pt>
                <c:pt idx="1">
                  <c:v>24209793.733900636</c:v>
                </c:pt>
                <c:pt idx="2">
                  <c:v>20774209.739211682</c:v>
                </c:pt>
                <c:pt idx="3">
                  <c:v>605367384.76480782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D9-4D44-8422-51123682F7A0}"/>
            </c:ext>
          </c:extLst>
        </c:ser>
        <c:ser>
          <c:idx val="0"/>
          <c:order val="3"/>
          <c:tx>
            <c:v>Line Multi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5D9-4D44-8422-51123682F7A0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D9-4D44-8422-51123682F7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OnMultBlock_test!$I$9:$I$12</c:f>
              <c:numCache>
                <c:formatCode>General</c:formatCode>
                <c:ptCount val="4"/>
                <c:pt idx="0">
                  <c:v>4096</c:v>
                </c:pt>
                <c:pt idx="1">
                  <c:v>6114</c:v>
                </c:pt>
                <c:pt idx="2">
                  <c:v>8192</c:v>
                </c:pt>
                <c:pt idx="3">
                  <c:v>10240</c:v>
                </c:pt>
              </c:numCache>
              <c:extLst xmlns:c15="http://schemas.microsoft.com/office/drawing/2012/chart"/>
            </c:numRef>
          </c:cat>
          <c:val>
            <c:numRef>
              <c:f>OnMultLine_test!$N$9:$N$12</c:f>
              <c:numCache>
                <c:formatCode>General</c:formatCode>
                <c:ptCount val="4"/>
                <c:pt idx="0">
                  <c:v>3337469103.7224522</c:v>
                </c:pt>
                <c:pt idx="1">
                  <c:v>3328941571.7683649</c:v>
                </c:pt>
                <c:pt idx="2">
                  <c:v>3351821809.6019597</c:v>
                </c:pt>
                <c:pt idx="3">
                  <c:v>3345767736.3454499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5D9-4D44-8422-51123682F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  <c:extLst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FLOPS/s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Naive</a:t>
            </a:r>
            <a:r>
              <a:rPr lang="pt-PT" baseline="0"/>
              <a:t> Matrix Multiplication: </a:t>
            </a:r>
            <a:r>
              <a:rPr lang="pt-PT"/>
              <a:t>Lua</a:t>
            </a:r>
            <a:r>
              <a:rPr lang="pt-PT" baseline="0"/>
              <a:t> vs C++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C++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417-42E5-BFAB-1F7419A735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OnMult_test!$I$2:$I$8</c:f>
              <c:numCache>
                <c:formatCode>General</c:formatCode>
                <c:ptCount val="7"/>
                <c:pt idx="0">
                  <c:v>0.19552375</c:v>
                </c:pt>
                <c:pt idx="1">
                  <c:v>1.1694672499999998</c:v>
                </c:pt>
                <c:pt idx="2">
                  <c:v>3.4114805000000001</c:v>
                </c:pt>
                <c:pt idx="3">
                  <c:v>18.493413499999999</c:v>
                </c:pt>
                <c:pt idx="4">
                  <c:v>38.770039750000002</c:v>
                </c:pt>
                <c:pt idx="5">
                  <c:v>69.014061749999996</c:v>
                </c:pt>
                <c:pt idx="6" formatCode="0.0">
                  <c:v>115.33213599999999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17-42E5-BFAB-1F7419A735B5}"/>
            </c:ext>
          </c:extLst>
        </c:ser>
        <c:ser>
          <c:idx val="0"/>
          <c:order val="1"/>
          <c:tx>
            <c:v>Lua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417-42E5-BFAB-1F7419A735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OnMult_test!$O$2:$O$8</c:f>
              <c:numCache>
                <c:formatCode>General</c:formatCode>
                <c:ptCount val="7"/>
                <c:pt idx="0">
                  <c:v>9.1229999999999993</c:v>
                </c:pt>
                <c:pt idx="1">
                  <c:v>42.634999999999998</c:v>
                </c:pt>
                <c:pt idx="2">
                  <c:v>127.318</c:v>
                </c:pt>
                <c:pt idx="3">
                  <c:v>262.911</c:v>
                </c:pt>
                <c:pt idx="4">
                  <c:v>486.51400000000001</c:v>
                </c:pt>
                <c:pt idx="5">
                  <c:v>793.01900000000001</c:v>
                </c:pt>
                <c:pt idx="6" formatCode="0.0">
                  <c:v>1203.692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17-42E5-BFAB-1F7419A73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Line</a:t>
            </a:r>
            <a:r>
              <a:rPr lang="pt-PT" baseline="0"/>
              <a:t> Matrix Multiplication: </a:t>
            </a:r>
            <a:r>
              <a:rPr lang="pt-PT"/>
              <a:t>Lua</a:t>
            </a:r>
            <a:r>
              <a:rPr lang="pt-PT" baseline="0"/>
              <a:t> vs C++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7"/>
          <c:order val="0"/>
          <c:tx>
            <c:v>C++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E9-4645-8C36-9F79774D00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OnMult_test!$H$2:$H$8</c:f>
              <c:numCache>
                <c:formatCode>General</c:formatCode>
                <c:ptCount val="7"/>
                <c:pt idx="0">
                  <c:v>600</c:v>
                </c:pt>
                <c:pt idx="1">
                  <c:v>1000</c:v>
                </c:pt>
                <c:pt idx="2">
                  <c:v>1400</c:v>
                </c:pt>
                <c:pt idx="3">
                  <c:v>1800</c:v>
                </c:pt>
                <c:pt idx="4">
                  <c:v>2200</c:v>
                </c:pt>
                <c:pt idx="5">
                  <c:v>2600</c:v>
                </c:pt>
                <c:pt idx="6">
                  <c:v>3000</c:v>
                </c:pt>
              </c:numCache>
            </c:numRef>
          </c:cat>
          <c:val>
            <c:numRef>
              <c:f>OnMultLine_test!$I$2:$I$8</c:f>
              <c:numCache>
                <c:formatCode>General</c:formatCode>
                <c:ptCount val="7"/>
                <c:pt idx="0">
                  <c:v>0.10555125</c:v>
                </c:pt>
                <c:pt idx="1">
                  <c:v>0.54651675</c:v>
                </c:pt>
                <c:pt idx="2">
                  <c:v>1.7866230000000001</c:v>
                </c:pt>
                <c:pt idx="3">
                  <c:v>3.5071965000000001</c:v>
                </c:pt>
                <c:pt idx="4">
                  <c:v>6.3052667499999995</c:v>
                </c:pt>
                <c:pt idx="5">
                  <c:v>10.425101</c:v>
                </c:pt>
                <c:pt idx="6" formatCode="0.0">
                  <c:v>16.384390750000001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E9-4645-8C36-9F79774D0096}"/>
            </c:ext>
          </c:extLst>
        </c:ser>
        <c:ser>
          <c:idx val="0"/>
          <c:order val="1"/>
          <c:tx>
            <c:v>Lua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E9-4645-8C36-9F79774D00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OnMultLine_test!$O$2:$O$8</c:f>
              <c:numCache>
                <c:formatCode>General</c:formatCode>
                <c:ptCount val="7"/>
                <c:pt idx="0">
                  <c:v>8.3019999999999996</c:v>
                </c:pt>
                <c:pt idx="1">
                  <c:v>37.805999999999997</c:v>
                </c:pt>
                <c:pt idx="2">
                  <c:v>104.40900000000001</c:v>
                </c:pt>
                <c:pt idx="3">
                  <c:v>222.40899999999999</c:v>
                </c:pt>
                <c:pt idx="4">
                  <c:v>403.35399999999998</c:v>
                </c:pt>
                <c:pt idx="5">
                  <c:v>663.74900000000002</c:v>
                </c:pt>
                <c:pt idx="6" formatCode="0.0">
                  <c:v>1016.934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E9-4645-8C36-9F79774D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001599"/>
        <c:axId val="1867905183"/>
      </c:lineChart>
      <c:catAx>
        <c:axId val="18650015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Matrix</a:t>
                </a:r>
                <a:r>
                  <a:rPr lang="pt-PT" baseline="0"/>
                  <a:t> Size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7905183"/>
        <c:crosses val="autoZero"/>
        <c:auto val="1"/>
        <c:lblAlgn val="ctr"/>
        <c:lblOffset val="100"/>
        <c:noMultiLvlLbl val="0"/>
      </c:catAx>
      <c:valAx>
        <c:axId val="1867905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Execution 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6500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</xdr:colOff>
      <xdr:row>9</xdr:row>
      <xdr:rowOff>72390</xdr:rowOff>
    </xdr:from>
    <xdr:to>
      <xdr:col>14</xdr:col>
      <xdr:colOff>308610</xdr:colOff>
      <xdr:row>24</xdr:row>
      <xdr:rowOff>72390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E24A33A-E620-FFE8-0F0E-0475B20A9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14</xdr:col>
      <xdr:colOff>304800</xdr:colOff>
      <xdr:row>40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7E8C1F-503D-41A3-B1C1-DA55EAD86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14</xdr:row>
      <xdr:rowOff>0</xdr:rowOff>
    </xdr:from>
    <xdr:to>
      <xdr:col>14</xdr:col>
      <xdr:colOff>350520</xdr:colOff>
      <xdr:row>29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CA9B8D-DDE3-47BA-8697-41CC51AAEA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30</xdr:row>
      <xdr:rowOff>0</xdr:rowOff>
    </xdr:from>
    <xdr:to>
      <xdr:col>14</xdr:col>
      <xdr:colOff>350520</xdr:colOff>
      <xdr:row>45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BA2BEA3-7767-431E-9ADE-6492F3E34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14</xdr:col>
      <xdr:colOff>533400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2ECF63-CF89-496A-A562-74DE89932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14</xdr:col>
      <xdr:colOff>533400</xdr:colOff>
      <xdr:row>45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854DFD3-ADB4-4EEE-A8AA-2F4359CDA3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1</xdr:row>
      <xdr:rowOff>0</xdr:rowOff>
    </xdr:from>
    <xdr:to>
      <xdr:col>8</xdr:col>
      <xdr:colOff>335280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236678-491D-4344-879C-C9A2DF2FBD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251460</xdr:colOff>
      <xdr:row>1</xdr:row>
      <xdr:rowOff>7620</xdr:rowOff>
    </xdr:from>
    <xdr:to>
      <xdr:col>16</xdr:col>
      <xdr:colOff>601980</xdr:colOff>
      <xdr:row>16</xdr:row>
      <xdr:rowOff>7620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26C0F6-3C85-4401-81B8-E3A8D6438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350520</xdr:colOff>
      <xdr:row>32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B282BBC-E9B2-43E2-A341-9E52D2B1E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251460</xdr:colOff>
      <xdr:row>17</xdr:row>
      <xdr:rowOff>0</xdr:rowOff>
    </xdr:from>
    <xdr:to>
      <xdr:col>16</xdr:col>
      <xdr:colOff>601980</xdr:colOff>
      <xdr:row>32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1BE194-E2E9-438E-A613-F4035175FE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1</xdr:row>
      <xdr:rowOff>0</xdr:rowOff>
    </xdr:from>
    <xdr:to>
      <xdr:col>25</xdr:col>
      <xdr:colOff>350520</xdr:colOff>
      <xdr:row>16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F9A50C-C39B-4772-8F0E-102DBBD6EF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350520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60137F-B269-46CF-9305-199B83E97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350520</xdr:colOff>
      <xdr:row>16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1774A9B-B998-42F2-AC33-2D229A257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571500</xdr:colOff>
      <xdr:row>17</xdr:row>
      <xdr:rowOff>60960</xdr:rowOff>
    </xdr:from>
    <xdr:to>
      <xdr:col>8</xdr:col>
      <xdr:colOff>312420</xdr:colOff>
      <xdr:row>32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4DFA6B2-A309-408F-B10A-BECC5F928A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17</xdr:col>
      <xdr:colOff>381000</xdr:colOff>
      <xdr:row>32</xdr:row>
      <xdr:rowOff>129091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728DD66-5DA8-45D8-9336-06D42AE18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7620</xdr:rowOff>
    </xdr:from>
    <xdr:to>
      <xdr:col>8</xdr:col>
      <xdr:colOff>304800</xdr:colOff>
      <xdr:row>16</xdr:row>
      <xdr:rowOff>7620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2E6279D-B84B-4DFA-95F0-516CC4D47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129540</xdr:colOff>
      <xdr:row>1</xdr:row>
      <xdr:rowOff>7620</xdr:rowOff>
    </xdr:from>
    <xdr:to>
      <xdr:col>16</xdr:col>
      <xdr:colOff>434340</xdr:colOff>
      <xdr:row>16</xdr:row>
      <xdr:rowOff>7620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222A850-A3E8-4584-97B8-889F9F6E6A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zoomScaleNormal="100" workbookViewId="0">
      <selection activeCell="N1" sqref="N1:N8"/>
    </sheetView>
  </sheetViews>
  <sheetFormatPr defaultRowHeight="14.4" x14ac:dyDescent="0.3"/>
  <cols>
    <col min="9" max="13" width="9.5546875" bestFit="1" customWidth="1"/>
    <col min="14" max="14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tr">
        <f>C1</f>
        <v>L1 DCM</v>
      </c>
      <c r="K1" t="str">
        <f>D1</f>
        <v>L2 DCM</v>
      </c>
      <c r="L1" t="str">
        <f>E1</f>
        <v>L2 DCA</v>
      </c>
      <c r="M1" t="str">
        <f>F1</f>
        <v>DP_OPS</v>
      </c>
      <c r="N1" t="s">
        <v>13</v>
      </c>
      <c r="O1" t="s">
        <v>8</v>
      </c>
    </row>
    <row r="2" spans="1:15" x14ac:dyDescent="0.3">
      <c r="A2">
        <v>600</v>
      </c>
      <c r="B2">
        <v>0.18908800000000001</v>
      </c>
      <c r="C2">
        <v>244778404</v>
      </c>
      <c r="D2">
        <v>39887831</v>
      </c>
      <c r="E2">
        <v>218946669</v>
      </c>
      <c r="F2">
        <v>432000001</v>
      </c>
      <c r="H2">
        <v>600</v>
      </c>
      <c r="I2">
        <f>B6</f>
        <v>0.19552375</v>
      </c>
      <c r="J2">
        <f>C6</f>
        <v>244796973.25</v>
      </c>
      <c r="K2">
        <f>D6</f>
        <v>40165931.75</v>
      </c>
      <c r="L2">
        <f>E6</f>
        <v>218934484.25</v>
      </c>
      <c r="M2">
        <f>F6</f>
        <v>432000001</v>
      </c>
      <c r="N2">
        <f>M2/I2</f>
        <v>2209450263.714766</v>
      </c>
      <c r="O2" s="2">
        <v>9.1229999999999993</v>
      </c>
    </row>
    <row r="3" spans="1:15" x14ac:dyDescent="0.3">
      <c r="A3">
        <v>600</v>
      </c>
      <c r="B3">
        <v>0.195214</v>
      </c>
      <c r="C3">
        <v>244796829</v>
      </c>
      <c r="D3">
        <v>39475079</v>
      </c>
      <c r="E3">
        <v>218946960</v>
      </c>
      <c r="F3">
        <v>432000001</v>
      </c>
      <c r="H3">
        <v>1000</v>
      </c>
      <c r="I3">
        <f>B12</f>
        <v>1.1694672499999998</v>
      </c>
      <c r="J3">
        <f>C12</f>
        <v>1223005575.25</v>
      </c>
      <c r="K3">
        <f>D12</f>
        <v>296478883.25</v>
      </c>
      <c r="L3">
        <f>E12</f>
        <v>1103442731.5</v>
      </c>
      <c r="M3">
        <f>F12</f>
        <v>2000000001</v>
      </c>
      <c r="N3">
        <f t="shared" ref="N3:N8" si="0">M3/I3</f>
        <v>1710180427.0277772</v>
      </c>
      <c r="O3" s="2">
        <v>42.634999999999998</v>
      </c>
    </row>
    <row r="4" spans="1:15" x14ac:dyDescent="0.3">
      <c r="A4">
        <v>600</v>
      </c>
      <c r="B4">
        <v>0.19847100000000001</v>
      </c>
      <c r="C4">
        <v>244800052</v>
      </c>
      <c r="D4">
        <v>40123151</v>
      </c>
      <c r="E4">
        <v>218922102</v>
      </c>
      <c r="F4">
        <v>432000001</v>
      </c>
      <c r="H4">
        <v>1400</v>
      </c>
      <c r="I4">
        <f>B18</f>
        <v>3.4114805000000001</v>
      </c>
      <c r="J4">
        <f>C18</f>
        <v>3520159638.25</v>
      </c>
      <c r="K4">
        <f>D18</f>
        <v>1509482428.25</v>
      </c>
      <c r="L4">
        <f>E18</f>
        <v>3201489348.75</v>
      </c>
      <c r="M4">
        <f>F18</f>
        <v>5488000001</v>
      </c>
      <c r="N4">
        <f t="shared" si="0"/>
        <v>1608685730.7260001</v>
      </c>
      <c r="O4" s="2">
        <v>127.318</v>
      </c>
    </row>
    <row r="5" spans="1:15" x14ac:dyDescent="0.3">
      <c r="A5">
        <v>600</v>
      </c>
      <c r="B5">
        <v>0.199322</v>
      </c>
      <c r="C5">
        <v>244812608</v>
      </c>
      <c r="D5">
        <v>41177666</v>
      </c>
      <c r="E5">
        <v>218922206</v>
      </c>
      <c r="F5">
        <v>432000001</v>
      </c>
      <c r="H5">
        <v>1800</v>
      </c>
      <c r="I5">
        <f>B24</f>
        <v>18.493413499999999</v>
      </c>
      <c r="J5">
        <f>C24</f>
        <v>9077755294.5</v>
      </c>
      <c r="K5">
        <f>D24</f>
        <v>7746005156.5</v>
      </c>
      <c r="L5">
        <f>E24</f>
        <v>8437716789.5</v>
      </c>
      <c r="M5">
        <f>F24</f>
        <v>11664000001</v>
      </c>
      <c r="N5">
        <f t="shared" si="0"/>
        <v>630711036.7158556</v>
      </c>
      <c r="O5" s="2">
        <v>262.911</v>
      </c>
    </row>
    <row r="6" spans="1:15" x14ac:dyDescent="0.3">
      <c r="A6">
        <v>600</v>
      </c>
      <c r="B6" s="1">
        <f>AVERAGE(B2:B5)</f>
        <v>0.19552375</v>
      </c>
      <c r="C6" s="1">
        <f t="shared" ref="C6:F6" si="1">AVERAGE(C2:C5)</f>
        <v>244796973.25</v>
      </c>
      <c r="D6" s="1">
        <f t="shared" si="1"/>
        <v>40165931.75</v>
      </c>
      <c r="E6" s="1">
        <f t="shared" si="1"/>
        <v>218934484.25</v>
      </c>
      <c r="F6" s="1">
        <f t="shared" si="1"/>
        <v>432000001</v>
      </c>
      <c r="H6">
        <v>2200</v>
      </c>
      <c r="I6">
        <f>B30</f>
        <v>38.770039750000002</v>
      </c>
      <c r="J6">
        <f>C30</f>
        <v>17619805265</v>
      </c>
      <c r="K6">
        <f>D30</f>
        <v>23135012566.25</v>
      </c>
      <c r="L6">
        <f>E30</f>
        <v>16407561107</v>
      </c>
      <c r="M6">
        <f>F30</f>
        <v>21296000001</v>
      </c>
      <c r="N6">
        <f t="shared" si="0"/>
        <v>549290125.52792132</v>
      </c>
      <c r="O6" s="2">
        <v>486.51400000000001</v>
      </c>
    </row>
    <row r="7" spans="1:15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H7">
        <v>2600</v>
      </c>
      <c r="I7">
        <f>B36</f>
        <v>69.014061749999996</v>
      </c>
      <c r="J7">
        <f>C36</f>
        <v>30873023235</v>
      </c>
      <c r="K7">
        <f>D36</f>
        <v>50917701655.25</v>
      </c>
      <c r="L7">
        <f>E36</f>
        <v>28750352603.75</v>
      </c>
      <c r="M7">
        <f>F36</f>
        <v>35152000001</v>
      </c>
      <c r="N7">
        <f t="shared" si="0"/>
        <v>509345474.09101021</v>
      </c>
      <c r="O7" s="2">
        <v>793.01900000000001</v>
      </c>
    </row>
    <row r="8" spans="1:15" x14ac:dyDescent="0.3">
      <c r="A8">
        <v>1000</v>
      </c>
      <c r="B8">
        <v>1.042259</v>
      </c>
      <c r="C8">
        <v>1225750231</v>
      </c>
      <c r="D8">
        <v>291026379</v>
      </c>
      <c r="E8">
        <v>1106888074</v>
      </c>
      <c r="F8">
        <v>2000000001</v>
      </c>
      <c r="H8">
        <v>3000</v>
      </c>
      <c r="I8" s="3">
        <f>B42</f>
        <v>115.33213599999999</v>
      </c>
      <c r="J8" s="6">
        <f>C42</f>
        <v>50304525755.5</v>
      </c>
      <c r="K8" s="6">
        <f>D42</f>
        <v>95768232544.5</v>
      </c>
      <c r="L8" s="6">
        <f>E42</f>
        <v>46787372139.5</v>
      </c>
      <c r="M8" s="6">
        <f>F42</f>
        <v>54000000001</v>
      </c>
      <c r="N8">
        <f t="shared" si="0"/>
        <v>468212953.24834704</v>
      </c>
      <c r="O8" s="4">
        <v>1203.692</v>
      </c>
    </row>
    <row r="9" spans="1:15" x14ac:dyDescent="0.3">
      <c r="A9">
        <v>1000</v>
      </c>
      <c r="B9">
        <v>1.2440009999999999</v>
      </c>
      <c r="C9">
        <v>1222070471</v>
      </c>
      <c r="D9">
        <v>308176881</v>
      </c>
      <c r="E9">
        <v>1102513011</v>
      </c>
      <c r="F9">
        <v>2000000001</v>
      </c>
    </row>
    <row r="10" spans="1:15" x14ac:dyDescent="0.3">
      <c r="A10">
        <v>1000</v>
      </c>
      <c r="B10">
        <v>1.1963459999999999</v>
      </c>
      <c r="C10">
        <v>1222102504</v>
      </c>
      <c r="D10">
        <v>311814054</v>
      </c>
      <c r="E10">
        <v>1102159987</v>
      </c>
      <c r="F10">
        <v>2000000001</v>
      </c>
    </row>
    <row r="11" spans="1:15" x14ac:dyDescent="0.3">
      <c r="A11">
        <v>1000</v>
      </c>
      <c r="B11">
        <v>1.195263</v>
      </c>
      <c r="C11">
        <v>1222099095</v>
      </c>
      <c r="D11">
        <v>274898219</v>
      </c>
      <c r="E11">
        <v>1102209854</v>
      </c>
      <c r="F11">
        <v>2000000001</v>
      </c>
    </row>
    <row r="12" spans="1:15" x14ac:dyDescent="0.3">
      <c r="A12">
        <v>1000</v>
      </c>
      <c r="B12" s="1">
        <f t="shared" ref="B12:F12" si="2">AVERAGE(B8:B11)</f>
        <v>1.1694672499999998</v>
      </c>
      <c r="C12" s="1">
        <f t="shared" si="2"/>
        <v>1223005575.25</v>
      </c>
      <c r="D12" s="1">
        <f t="shared" si="2"/>
        <v>296478883.25</v>
      </c>
      <c r="E12" s="1">
        <f t="shared" si="2"/>
        <v>1103442731.5</v>
      </c>
      <c r="F12" s="1">
        <f t="shared" si="2"/>
        <v>2000000001</v>
      </c>
    </row>
    <row r="13" spans="1:15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</row>
    <row r="14" spans="1:15" x14ac:dyDescent="0.3">
      <c r="A14">
        <v>1400</v>
      </c>
      <c r="B14">
        <v>3.3654310000000001</v>
      </c>
      <c r="C14">
        <v>3458759396</v>
      </c>
      <c r="D14">
        <v>1667453783</v>
      </c>
      <c r="E14">
        <v>3129309361</v>
      </c>
      <c r="F14">
        <v>5488000001</v>
      </c>
    </row>
    <row r="15" spans="1:15" x14ac:dyDescent="0.3">
      <c r="A15">
        <v>1400</v>
      </c>
      <c r="B15">
        <v>3.416388</v>
      </c>
      <c r="C15">
        <v>3540515307</v>
      </c>
      <c r="D15">
        <v>1442139715</v>
      </c>
      <c r="E15">
        <v>3225897218</v>
      </c>
      <c r="F15">
        <v>5488000001</v>
      </c>
    </row>
    <row r="16" spans="1:15" x14ac:dyDescent="0.3">
      <c r="A16">
        <v>1400</v>
      </c>
      <c r="B16">
        <v>3.4707979999999998</v>
      </c>
      <c r="C16">
        <v>3540792496</v>
      </c>
      <c r="D16">
        <v>1459093617</v>
      </c>
      <c r="E16">
        <v>3225004396</v>
      </c>
      <c r="F16">
        <v>5488000001</v>
      </c>
    </row>
    <row r="17" spans="1:6" x14ac:dyDescent="0.3">
      <c r="A17">
        <v>1400</v>
      </c>
      <c r="B17">
        <v>3.3933049999999998</v>
      </c>
      <c r="C17">
        <v>3540571354</v>
      </c>
      <c r="D17">
        <v>1469242598</v>
      </c>
      <c r="E17">
        <v>3225746420</v>
      </c>
      <c r="F17">
        <v>5488000001</v>
      </c>
    </row>
    <row r="18" spans="1:6" x14ac:dyDescent="0.3">
      <c r="A18">
        <v>1400</v>
      </c>
      <c r="B18" s="1">
        <f t="shared" ref="B18:F18" si="3">AVERAGE(B14:B17)</f>
        <v>3.4114805000000001</v>
      </c>
      <c r="C18" s="1">
        <f t="shared" si="3"/>
        <v>3520159638.25</v>
      </c>
      <c r="D18" s="1">
        <f t="shared" si="3"/>
        <v>1509482428.25</v>
      </c>
      <c r="E18" s="1">
        <f t="shared" si="3"/>
        <v>3201489348.75</v>
      </c>
      <c r="F18" s="1">
        <f t="shared" si="3"/>
        <v>5488000001</v>
      </c>
    </row>
    <row r="19" spans="1:6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6" x14ac:dyDescent="0.3">
      <c r="A20">
        <v>1800</v>
      </c>
      <c r="B20">
        <v>17.962332</v>
      </c>
      <c r="C20">
        <v>9090443373</v>
      </c>
      <c r="D20">
        <v>7918045852</v>
      </c>
      <c r="E20">
        <v>8449551719</v>
      </c>
      <c r="F20">
        <v>11664000001</v>
      </c>
    </row>
    <row r="21" spans="1:6" x14ac:dyDescent="0.3">
      <c r="A21">
        <v>1800</v>
      </c>
      <c r="B21">
        <v>18.005922999999999</v>
      </c>
      <c r="C21">
        <v>9073549125</v>
      </c>
      <c r="D21">
        <v>7024837792</v>
      </c>
      <c r="E21">
        <v>8438592754</v>
      </c>
      <c r="F21">
        <v>11664000001</v>
      </c>
    </row>
    <row r="22" spans="1:6" x14ac:dyDescent="0.3">
      <c r="A22">
        <v>1800</v>
      </c>
      <c r="B22">
        <v>18.889033999999999</v>
      </c>
      <c r="C22">
        <v>9073546131</v>
      </c>
      <c r="D22">
        <v>7920655497</v>
      </c>
      <c r="E22">
        <v>8431818771</v>
      </c>
      <c r="F22">
        <v>11664000001</v>
      </c>
    </row>
    <row r="23" spans="1:6" x14ac:dyDescent="0.3">
      <c r="A23">
        <v>1800</v>
      </c>
      <c r="B23">
        <v>19.116364999999998</v>
      </c>
      <c r="C23">
        <v>9073482549</v>
      </c>
      <c r="D23">
        <v>8120481485</v>
      </c>
      <c r="E23">
        <v>8430903914</v>
      </c>
      <c r="F23">
        <v>11664000001</v>
      </c>
    </row>
    <row r="24" spans="1:6" x14ac:dyDescent="0.3">
      <c r="A24">
        <v>1800</v>
      </c>
      <c r="B24" s="1">
        <f t="shared" ref="B24:F24" si="4">AVERAGE(B20:B23)</f>
        <v>18.493413499999999</v>
      </c>
      <c r="C24" s="1">
        <f t="shared" si="4"/>
        <v>9077755294.5</v>
      </c>
      <c r="D24" s="1">
        <f t="shared" si="4"/>
        <v>7746005156.5</v>
      </c>
      <c r="E24" s="1">
        <f t="shared" si="4"/>
        <v>8437716789.5</v>
      </c>
      <c r="F24" s="1">
        <f t="shared" si="4"/>
        <v>11664000001</v>
      </c>
    </row>
    <row r="25" spans="1:6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6" x14ac:dyDescent="0.3">
      <c r="A26">
        <v>2200</v>
      </c>
      <c r="B26">
        <v>39.446311999999999</v>
      </c>
      <c r="C26">
        <v>17619314326</v>
      </c>
      <c r="D26">
        <v>23461446035</v>
      </c>
      <c r="E26">
        <v>16397862672</v>
      </c>
      <c r="F26">
        <v>21296000001</v>
      </c>
    </row>
    <row r="27" spans="1:6" x14ac:dyDescent="0.3">
      <c r="A27">
        <v>2200</v>
      </c>
      <c r="B27">
        <v>38.133927</v>
      </c>
      <c r="C27">
        <v>17620195327</v>
      </c>
      <c r="D27">
        <v>22492202212</v>
      </c>
      <c r="E27">
        <v>16417011075</v>
      </c>
      <c r="F27">
        <v>21296000001</v>
      </c>
    </row>
    <row r="28" spans="1:6" x14ac:dyDescent="0.3">
      <c r="A28">
        <v>2200</v>
      </c>
      <c r="B28">
        <v>38.748640000000002</v>
      </c>
      <c r="C28">
        <v>17619989004</v>
      </c>
      <c r="D28">
        <v>23448138475</v>
      </c>
      <c r="E28">
        <v>16408176228</v>
      </c>
      <c r="F28">
        <v>21296000001</v>
      </c>
    </row>
    <row r="29" spans="1:6" x14ac:dyDescent="0.3">
      <c r="A29">
        <v>2200</v>
      </c>
      <c r="B29">
        <v>38.751280000000001</v>
      </c>
      <c r="C29">
        <v>17619722403</v>
      </c>
      <c r="D29">
        <v>23138263543</v>
      </c>
      <c r="E29">
        <v>16407194453</v>
      </c>
      <c r="F29">
        <v>21296000001</v>
      </c>
    </row>
    <row r="30" spans="1:6" x14ac:dyDescent="0.3">
      <c r="A30">
        <v>2200</v>
      </c>
      <c r="B30" s="1">
        <f t="shared" ref="B30" si="5">AVERAGE(B26:B29)</f>
        <v>38.770039750000002</v>
      </c>
      <c r="C30" s="1">
        <f t="shared" ref="C30" si="6">AVERAGE(C26:C29)</f>
        <v>17619805265</v>
      </c>
      <c r="D30" s="1">
        <f t="shared" ref="D30" si="7">AVERAGE(D26:D29)</f>
        <v>23135012566.25</v>
      </c>
      <c r="E30" s="1">
        <f t="shared" ref="E30" si="8">AVERAGE(E26:E29)</f>
        <v>16407561107</v>
      </c>
      <c r="F30" s="1">
        <f t="shared" ref="F30" si="9">AVERAGE(F26:F29)</f>
        <v>21296000001</v>
      </c>
    </row>
    <row r="31" spans="1:6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</row>
    <row r="32" spans="1:6" x14ac:dyDescent="0.3">
      <c r="A32">
        <v>2600</v>
      </c>
      <c r="B32">
        <v>68.799802999999997</v>
      </c>
      <c r="C32">
        <v>30873446351</v>
      </c>
      <c r="D32">
        <v>50474518255</v>
      </c>
      <c r="E32">
        <v>28755231573</v>
      </c>
      <c r="F32">
        <v>35152000001</v>
      </c>
    </row>
    <row r="33" spans="1:6" x14ac:dyDescent="0.3">
      <c r="A33">
        <v>2600</v>
      </c>
      <c r="B33">
        <v>68.559191999999996</v>
      </c>
      <c r="C33">
        <v>30873926441</v>
      </c>
      <c r="D33">
        <v>50926269088</v>
      </c>
      <c r="E33">
        <v>28760984952</v>
      </c>
      <c r="F33">
        <v>35152000001</v>
      </c>
    </row>
    <row r="34" spans="1:6" x14ac:dyDescent="0.3">
      <c r="A34">
        <v>2600</v>
      </c>
      <c r="B34">
        <v>69.145212000000001</v>
      </c>
      <c r="C34">
        <v>30872583666</v>
      </c>
      <c r="D34">
        <v>51332582022</v>
      </c>
      <c r="E34">
        <v>28742586661</v>
      </c>
      <c r="F34">
        <v>35152000001</v>
      </c>
    </row>
    <row r="35" spans="1:6" x14ac:dyDescent="0.3">
      <c r="A35">
        <v>2600</v>
      </c>
      <c r="B35">
        <v>69.552040000000005</v>
      </c>
      <c r="C35">
        <v>30872136482</v>
      </c>
      <c r="D35">
        <v>50937437256</v>
      </c>
      <c r="E35">
        <v>28742607229</v>
      </c>
      <c r="F35">
        <v>35152000001</v>
      </c>
    </row>
    <row r="36" spans="1:6" x14ac:dyDescent="0.3">
      <c r="A36">
        <v>2600</v>
      </c>
      <c r="B36" s="1">
        <f t="shared" ref="B36" si="10">AVERAGE(B32:B35)</f>
        <v>69.014061749999996</v>
      </c>
      <c r="C36" s="1">
        <f t="shared" ref="C36" si="11">AVERAGE(C32:C35)</f>
        <v>30873023235</v>
      </c>
      <c r="D36" s="1">
        <f t="shared" ref="D36" si="12">AVERAGE(D32:D35)</f>
        <v>50917701655.25</v>
      </c>
      <c r="E36" s="1">
        <f t="shared" ref="E36" si="13">AVERAGE(E32:E35)</f>
        <v>28750352603.75</v>
      </c>
      <c r="F36" s="1">
        <f t="shared" ref="F36" si="14">AVERAGE(F32:F35)</f>
        <v>35152000001</v>
      </c>
    </row>
    <row r="37" spans="1:6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</row>
    <row r="38" spans="1:6" x14ac:dyDescent="0.3">
      <c r="A38">
        <v>3000</v>
      </c>
      <c r="B38">
        <v>114.67456</v>
      </c>
      <c r="C38">
        <v>50305130088</v>
      </c>
      <c r="D38">
        <v>95982266365</v>
      </c>
      <c r="E38">
        <v>46786825357</v>
      </c>
      <c r="F38">
        <v>54000000001</v>
      </c>
    </row>
    <row r="39" spans="1:6" x14ac:dyDescent="0.3">
      <c r="A39">
        <v>3000</v>
      </c>
      <c r="B39">
        <v>115.762421</v>
      </c>
      <c r="C39">
        <v>50304093160</v>
      </c>
      <c r="D39">
        <v>95789758168</v>
      </c>
      <c r="E39">
        <v>46773929852</v>
      </c>
      <c r="F39">
        <v>54000000001</v>
      </c>
    </row>
    <row r="40" spans="1:6" x14ac:dyDescent="0.3">
      <c r="A40">
        <v>3000</v>
      </c>
      <c r="B40">
        <v>115.56975799999999</v>
      </c>
      <c r="C40">
        <v>50304407825</v>
      </c>
      <c r="D40">
        <v>95406906316</v>
      </c>
      <c r="E40">
        <v>46788975912</v>
      </c>
      <c r="F40">
        <v>54000000001</v>
      </c>
    </row>
    <row r="41" spans="1:6" x14ac:dyDescent="0.3">
      <c r="A41">
        <v>3000</v>
      </c>
      <c r="B41">
        <v>115.321805</v>
      </c>
      <c r="C41">
        <v>50304471949</v>
      </c>
      <c r="D41">
        <v>95893999329</v>
      </c>
      <c r="E41">
        <v>46799757437</v>
      </c>
      <c r="F41">
        <v>54000000001</v>
      </c>
    </row>
    <row r="42" spans="1:6" x14ac:dyDescent="0.3">
      <c r="A42">
        <v>3000</v>
      </c>
      <c r="B42" s="1">
        <f t="shared" ref="B42" si="15">AVERAGE(B38:B41)</f>
        <v>115.33213599999999</v>
      </c>
      <c r="C42" s="1">
        <f t="shared" ref="C42" si="16">AVERAGE(C38:C41)</f>
        <v>50304525755.5</v>
      </c>
      <c r="D42" s="1">
        <f t="shared" ref="D42" si="17">AVERAGE(D38:D41)</f>
        <v>95768232544.5</v>
      </c>
      <c r="E42" s="1">
        <f t="shared" ref="E42" si="18">AVERAGE(E38:E41)</f>
        <v>46787372139.5</v>
      </c>
      <c r="F42" s="1">
        <f t="shared" ref="F42" si="19">AVERAGE(F38:F41)</f>
        <v>54000000001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8"/>
  <sheetViews>
    <sheetView workbookViewId="0">
      <selection activeCell="O12" sqref="O12"/>
    </sheetView>
  </sheetViews>
  <sheetFormatPr defaultRowHeight="14.4" x14ac:dyDescent="0.3"/>
  <cols>
    <col min="10" max="13" width="9.5546875" bestFit="1" customWidth="1"/>
    <col min="15" max="15" width="9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tr">
        <f>C1</f>
        <v>L1 DCM</v>
      </c>
      <c r="K1" t="str">
        <f>D1</f>
        <v>L2 DCM</v>
      </c>
      <c r="L1" t="str">
        <f>E1</f>
        <v>L2 DCA</v>
      </c>
      <c r="M1" t="str">
        <f>F1</f>
        <v>DP_OPS</v>
      </c>
      <c r="N1" t="s">
        <v>13</v>
      </c>
      <c r="O1" t="s">
        <v>8</v>
      </c>
    </row>
    <row r="2" spans="1:15" x14ac:dyDescent="0.3">
      <c r="A2">
        <v>600</v>
      </c>
      <c r="B2">
        <v>9.9432999999999994E-2</v>
      </c>
      <c r="C2">
        <v>27108464</v>
      </c>
      <c r="D2">
        <v>58249427</v>
      </c>
      <c r="E2">
        <v>1352693</v>
      </c>
      <c r="F2">
        <v>432000001</v>
      </c>
      <c r="H2">
        <v>600</v>
      </c>
      <c r="I2">
        <f>B6</f>
        <v>0.10555125</v>
      </c>
      <c r="J2">
        <f>C6</f>
        <v>27108125.75</v>
      </c>
      <c r="K2">
        <f>D6</f>
        <v>58112304.5</v>
      </c>
      <c r="L2">
        <f>E6</f>
        <v>1436357.75</v>
      </c>
      <c r="M2">
        <f>F6</f>
        <v>432000001</v>
      </c>
      <c r="N2">
        <f>M2/I2</f>
        <v>4092798531.5190487</v>
      </c>
      <c r="O2" s="2">
        <v>8.3019999999999996</v>
      </c>
    </row>
    <row r="3" spans="1:15" x14ac:dyDescent="0.3">
      <c r="A3">
        <v>600</v>
      </c>
      <c r="B3">
        <v>0.110758</v>
      </c>
      <c r="C3">
        <v>27106733</v>
      </c>
      <c r="D3">
        <v>57979194</v>
      </c>
      <c r="E3">
        <v>1460239</v>
      </c>
      <c r="F3">
        <v>432000001</v>
      </c>
      <c r="H3">
        <v>1000</v>
      </c>
      <c r="I3">
        <f>B12</f>
        <v>0.54651675</v>
      </c>
      <c r="J3">
        <f>C12</f>
        <v>125706758.5</v>
      </c>
      <c r="K3">
        <f>D12</f>
        <v>262810051.25</v>
      </c>
      <c r="L3">
        <f>E12</f>
        <v>8375854</v>
      </c>
      <c r="M3">
        <f>F12</f>
        <v>2000000001</v>
      </c>
      <c r="N3">
        <f t="shared" ref="N3:N12" si="0">M3/I3</f>
        <v>3659540171.4586058</v>
      </c>
      <c r="O3" s="2">
        <v>37.805999999999997</v>
      </c>
    </row>
    <row r="4" spans="1:15" x14ac:dyDescent="0.3">
      <c r="A4">
        <v>600</v>
      </c>
      <c r="B4">
        <v>0.105506</v>
      </c>
      <c r="C4">
        <v>27108582</v>
      </c>
      <c r="D4">
        <v>58126014</v>
      </c>
      <c r="E4">
        <v>1466265</v>
      </c>
      <c r="F4">
        <v>432000001</v>
      </c>
      <c r="H4">
        <v>1400</v>
      </c>
      <c r="I4">
        <f>B18</f>
        <v>1.7866230000000001</v>
      </c>
      <c r="J4">
        <f>C18</f>
        <v>345958415</v>
      </c>
      <c r="K4">
        <f>D18</f>
        <v>690664587.25</v>
      </c>
      <c r="L4">
        <f>E18</f>
        <v>21936601.5</v>
      </c>
      <c r="M4">
        <f>F18</f>
        <v>5488000001</v>
      </c>
      <c r="N4">
        <f t="shared" si="0"/>
        <v>3071716865.2815952</v>
      </c>
      <c r="O4" s="2">
        <v>104.40900000000001</v>
      </c>
    </row>
    <row r="5" spans="1:15" x14ac:dyDescent="0.3">
      <c r="A5">
        <v>600</v>
      </c>
      <c r="B5">
        <v>0.10650800000000001</v>
      </c>
      <c r="C5">
        <v>27108724</v>
      </c>
      <c r="D5">
        <v>58094583</v>
      </c>
      <c r="E5">
        <v>1466234</v>
      </c>
      <c r="F5">
        <v>432000001</v>
      </c>
      <c r="H5">
        <v>1800</v>
      </c>
      <c r="I5">
        <f>B24</f>
        <v>3.5071965000000001</v>
      </c>
      <c r="J5">
        <f>C24</f>
        <v>744696247</v>
      </c>
      <c r="K5">
        <f>D24</f>
        <v>1443626804</v>
      </c>
      <c r="L5">
        <f>E24</f>
        <v>46811749.75</v>
      </c>
      <c r="M5">
        <f>F24</f>
        <v>11664000001</v>
      </c>
      <c r="N5">
        <f t="shared" si="0"/>
        <v>3325733246.1982098</v>
      </c>
      <c r="O5" s="2">
        <v>222.40899999999999</v>
      </c>
    </row>
    <row r="6" spans="1:15" x14ac:dyDescent="0.3">
      <c r="B6" s="1">
        <f>AVERAGE(B2:B5)</f>
        <v>0.10555125</v>
      </c>
      <c r="C6" s="1">
        <f t="shared" ref="C6:F6" si="1">AVERAGE(C2:C5)</f>
        <v>27108125.75</v>
      </c>
      <c r="D6" s="1">
        <f t="shared" si="1"/>
        <v>58112304.5</v>
      </c>
      <c r="E6" s="1">
        <f t="shared" si="1"/>
        <v>1436357.75</v>
      </c>
      <c r="F6" s="1">
        <f t="shared" si="1"/>
        <v>432000001</v>
      </c>
      <c r="H6">
        <v>2200</v>
      </c>
      <c r="I6">
        <f>B30</f>
        <v>6.3052667499999995</v>
      </c>
      <c r="J6">
        <f>C30</f>
        <v>2073618799.25</v>
      </c>
      <c r="K6">
        <f>D30</f>
        <v>2578741987</v>
      </c>
      <c r="L6">
        <f>E30</f>
        <v>178782631.5</v>
      </c>
      <c r="M6">
        <f>F30</f>
        <v>21296000001</v>
      </c>
      <c r="N6">
        <f t="shared" si="0"/>
        <v>3377493902.3793087</v>
      </c>
      <c r="O6" s="2">
        <v>403.35399999999998</v>
      </c>
    </row>
    <row r="7" spans="1:15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H7">
        <v>2600</v>
      </c>
      <c r="I7">
        <f>B36</f>
        <v>10.425101</v>
      </c>
      <c r="J7">
        <f>C36</f>
        <v>4412369269.75</v>
      </c>
      <c r="K7">
        <f>D36</f>
        <v>4209055053</v>
      </c>
      <c r="L7">
        <f>E36</f>
        <v>417237994.25</v>
      </c>
      <c r="M7">
        <f>F36</f>
        <v>35152000001</v>
      </c>
      <c r="N7">
        <f t="shared" si="0"/>
        <v>3371861817.0701656</v>
      </c>
      <c r="O7" s="2">
        <v>663.74900000000002</v>
      </c>
    </row>
    <row r="8" spans="1:15" x14ac:dyDescent="0.3">
      <c r="A8">
        <v>1000</v>
      </c>
      <c r="B8">
        <v>0.51116799999999996</v>
      </c>
      <c r="C8">
        <v>125699408</v>
      </c>
      <c r="D8">
        <v>265497859</v>
      </c>
      <c r="E8">
        <v>8134685</v>
      </c>
      <c r="F8">
        <v>2000000001</v>
      </c>
      <c r="H8">
        <v>3000</v>
      </c>
      <c r="I8" s="3">
        <f>B42</f>
        <v>16.384390750000001</v>
      </c>
      <c r="J8" s="6">
        <f>C42</f>
        <v>6779645265</v>
      </c>
      <c r="K8" s="6">
        <f>D42</f>
        <v>6384477767</v>
      </c>
      <c r="L8" s="6">
        <f>E42</f>
        <v>618130751.5</v>
      </c>
      <c r="M8" s="6">
        <f>F42</f>
        <v>54000000001</v>
      </c>
      <c r="N8">
        <f t="shared" si="0"/>
        <v>3295819833.9477468</v>
      </c>
      <c r="O8" s="4">
        <v>1016.934</v>
      </c>
    </row>
    <row r="9" spans="1:15" x14ac:dyDescent="0.3">
      <c r="A9">
        <v>1000</v>
      </c>
      <c r="B9">
        <v>0.63589200000000001</v>
      </c>
      <c r="C9">
        <v>125715876</v>
      </c>
      <c r="D9">
        <v>255870358</v>
      </c>
      <c r="E9">
        <v>8189528</v>
      </c>
      <c r="F9">
        <v>2000000001</v>
      </c>
      <c r="H9">
        <v>4096</v>
      </c>
      <c r="I9">
        <f>B46</f>
        <v>41.180592000000004</v>
      </c>
      <c r="J9">
        <f t="shared" ref="J9:M9" si="2">C46</f>
        <v>17531827639</v>
      </c>
      <c r="K9">
        <f t="shared" si="2"/>
        <v>15928967085.5</v>
      </c>
      <c r="L9">
        <f t="shared" si="2"/>
        <v>2875157287</v>
      </c>
      <c r="M9">
        <f t="shared" si="2"/>
        <v>137438953473</v>
      </c>
      <c r="N9">
        <f>M9/I9</f>
        <v>3337469103.7224522</v>
      </c>
    </row>
    <row r="10" spans="1:15" x14ac:dyDescent="0.3">
      <c r="A10">
        <v>1000</v>
      </c>
      <c r="B10">
        <v>0.54310000000000003</v>
      </c>
      <c r="C10">
        <v>125707097</v>
      </c>
      <c r="D10">
        <v>262953947</v>
      </c>
      <c r="E10">
        <v>8498141</v>
      </c>
      <c r="F10">
        <v>2000000001</v>
      </c>
      <c r="H10">
        <v>6114</v>
      </c>
      <c r="I10">
        <f>B50</f>
        <v>139.34052550000001</v>
      </c>
      <c r="J10">
        <f t="shared" ref="J10:M10" si="3">C50</f>
        <v>59108387260</v>
      </c>
      <c r="K10">
        <f t="shared" si="3"/>
        <v>53313029947</v>
      </c>
      <c r="L10">
        <f t="shared" si="3"/>
        <v>9676619129.5</v>
      </c>
      <c r="M10">
        <f t="shared" si="3"/>
        <v>463856467969</v>
      </c>
      <c r="N10">
        <f t="shared" si="0"/>
        <v>3328941571.7683649</v>
      </c>
    </row>
    <row r="11" spans="1:15" x14ac:dyDescent="0.3">
      <c r="A11">
        <v>1000</v>
      </c>
      <c r="B11">
        <v>0.49590699999999999</v>
      </c>
      <c r="C11">
        <v>125704653</v>
      </c>
      <c r="D11">
        <v>266918041</v>
      </c>
      <c r="E11">
        <v>8681062</v>
      </c>
      <c r="F11">
        <v>2000000001</v>
      </c>
      <c r="H11">
        <v>8192</v>
      </c>
      <c r="I11">
        <f>B54</f>
        <v>328.03403350000002</v>
      </c>
      <c r="J11">
        <f t="shared" ref="J11:M11" si="4">C54</f>
        <v>140042345851</v>
      </c>
      <c r="K11">
        <f t="shared" si="4"/>
        <v>128684238001</v>
      </c>
      <c r="L11">
        <f t="shared" si="4"/>
        <v>23362694491.5</v>
      </c>
      <c r="M11">
        <f t="shared" si="4"/>
        <v>1099511627777</v>
      </c>
      <c r="N11">
        <f t="shared" si="0"/>
        <v>3351821809.6019597</v>
      </c>
    </row>
    <row r="12" spans="1:15" x14ac:dyDescent="0.3">
      <c r="B12" s="1">
        <f>AVERAGE(B8:B11)</f>
        <v>0.54651675</v>
      </c>
      <c r="C12" s="1">
        <f t="shared" ref="C12:F12" si="5">AVERAGE(C8:C11)</f>
        <v>125706758.5</v>
      </c>
      <c r="D12" s="1">
        <f t="shared" si="5"/>
        <v>262810051.25</v>
      </c>
      <c r="E12" s="1">
        <f t="shared" si="5"/>
        <v>8375854</v>
      </c>
      <c r="F12" s="1">
        <f t="shared" si="5"/>
        <v>2000000001</v>
      </c>
      <c r="H12">
        <v>10240</v>
      </c>
      <c r="I12">
        <f>B58</f>
        <v>641.85078499999997</v>
      </c>
      <c r="J12">
        <f t="shared" ref="J12:M12" si="6">C58</f>
        <v>273396452881.5</v>
      </c>
      <c r="K12">
        <f t="shared" si="6"/>
        <v>251927454819</v>
      </c>
      <c r="L12">
        <f t="shared" si="6"/>
        <v>44728198969.5</v>
      </c>
      <c r="M12">
        <f t="shared" si="6"/>
        <v>2147483648001</v>
      </c>
      <c r="N12">
        <f t="shared" si="0"/>
        <v>3345767736.3454499</v>
      </c>
    </row>
    <row r="13" spans="1:15" x14ac:dyDescent="0.3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</row>
    <row r="14" spans="1:15" x14ac:dyDescent="0.3">
      <c r="A14">
        <v>1400</v>
      </c>
      <c r="B14">
        <v>1.7439070000000001</v>
      </c>
      <c r="C14">
        <v>345968213</v>
      </c>
      <c r="D14">
        <v>694161711</v>
      </c>
      <c r="E14">
        <v>21437128</v>
      </c>
      <c r="F14">
        <v>5488000001</v>
      </c>
    </row>
    <row r="15" spans="1:15" x14ac:dyDescent="0.3">
      <c r="A15">
        <v>1400</v>
      </c>
      <c r="B15">
        <v>1.985892</v>
      </c>
      <c r="C15">
        <v>345970567</v>
      </c>
      <c r="D15">
        <v>674425550</v>
      </c>
      <c r="E15">
        <v>21450979</v>
      </c>
      <c r="F15">
        <v>5488000001</v>
      </c>
    </row>
    <row r="16" spans="1:15" x14ac:dyDescent="0.3">
      <c r="A16">
        <v>1400</v>
      </c>
      <c r="B16">
        <v>1.6952560000000001</v>
      </c>
      <c r="C16">
        <v>345947349</v>
      </c>
      <c r="D16">
        <v>697944753</v>
      </c>
      <c r="E16">
        <v>22479160</v>
      </c>
      <c r="F16">
        <v>5488000001</v>
      </c>
    </row>
    <row r="17" spans="1:6" x14ac:dyDescent="0.3">
      <c r="A17">
        <v>1400</v>
      </c>
      <c r="B17">
        <v>1.7214370000000001</v>
      </c>
      <c r="C17">
        <v>345947531</v>
      </c>
      <c r="D17">
        <v>696126335</v>
      </c>
      <c r="E17">
        <v>22379139</v>
      </c>
      <c r="F17">
        <v>5488000001</v>
      </c>
    </row>
    <row r="18" spans="1:6" x14ac:dyDescent="0.3">
      <c r="B18" s="1">
        <f>AVERAGE(B14:B17)</f>
        <v>1.7866230000000001</v>
      </c>
      <c r="C18" s="1">
        <f t="shared" ref="C18:F18" si="7">AVERAGE(C14:C17)</f>
        <v>345958415</v>
      </c>
      <c r="D18" s="1">
        <f t="shared" si="7"/>
        <v>690664587.25</v>
      </c>
      <c r="E18" s="1">
        <f t="shared" si="7"/>
        <v>21936601.5</v>
      </c>
      <c r="F18" s="1">
        <f t="shared" si="7"/>
        <v>5488000001</v>
      </c>
    </row>
    <row r="19" spans="1:6" x14ac:dyDescent="0.3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</row>
    <row r="20" spans="1:6" x14ac:dyDescent="0.3">
      <c r="A20">
        <v>1800</v>
      </c>
      <c r="B20">
        <v>3.6340460000000001</v>
      </c>
      <c r="C20">
        <v>745178878</v>
      </c>
      <c r="D20">
        <v>1427083376</v>
      </c>
      <c r="E20">
        <v>44820403</v>
      </c>
      <c r="F20">
        <v>11664000001</v>
      </c>
    </row>
    <row r="21" spans="1:6" x14ac:dyDescent="0.3">
      <c r="A21">
        <v>1800</v>
      </c>
      <c r="B21">
        <v>3.6287060000000002</v>
      </c>
      <c r="C21">
        <v>744511679</v>
      </c>
      <c r="D21">
        <v>1426841601</v>
      </c>
      <c r="E21">
        <v>46307281</v>
      </c>
      <c r="F21">
        <v>11664000001</v>
      </c>
    </row>
    <row r="22" spans="1:6" x14ac:dyDescent="0.3">
      <c r="A22">
        <v>1800</v>
      </c>
      <c r="B22">
        <v>3.3874420000000001</v>
      </c>
      <c r="C22">
        <v>744543664</v>
      </c>
      <c r="D22">
        <v>1461007656</v>
      </c>
      <c r="E22">
        <v>48099283</v>
      </c>
      <c r="F22">
        <v>11664000001</v>
      </c>
    </row>
    <row r="23" spans="1:6" x14ac:dyDescent="0.3">
      <c r="A23">
        <v>1800</v>
      </c>
      <c r="B23">
        <v>3.3785919999999998</v>
      </c>
      <c r="C23">
        <v>744550767</v>
      </c>
      <c r="D23">
        <v>1459574583</v>
      </c>
      <c r="E23">
        <v>48020032</v>
      </c>
      <c r="F23">
        <v>11664000001</v>
      </c>
    </row>
    <row r="24" spans="1:6" x14ac:dyDescent="0.3">
      <c r="B24" s="1">
        <f>AVERAGE(B20:B23)</f>
        <v>3.5071965000000001</v>
      </c>
      <c r="C24" s="1">
        <f t="shared" ref="C24:F24" si="8">AVERAGE(C20:C23)</f>
        <v>744696247</v>
      </c>
      <c r="D24" s="1">
        <f t="shared" si="8"/>
        <v>1443626804</v>
      </c>
      <c r="E24" s="1">
        <f t="shared" si="8"/>
        <v>46811749.75</v>
      </c>
      <c r="F24" s="1">
        <f t="shared" si="8"/>
        <v>11664000001</v>
      </c>
    </row>
    <row r="25" spans="1:6" x14ac:dyDescent="0.3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</row>
    <row r="26" spans="1:6" x14ac:dyDescent="0.3">
      <c r="A26">
        <v>2200</v>
      </c>
      <c r="B26">
        <v>6.4963069999999998</v>
      </c>
      <c r="C26">
        <v>2073326076</v>
      </c>
      <c r="D26">
        <v>2560012961</v>
      </c>
      <c r="E26">
        <v>178802967</v>
      </c>
      <c r="F26">
        <v>21296000001</v>
      </c>
    </row>
    <row r="27" spans="1:6" x14ac:dyDescent="0.3">
      <c r="A27">
        <v>2200</v>
      </c>
      <c r="B27">
        <v>6.2392310000000002</v>
      </c>
      <c r="C27">
        <v>2073793172</v>
      </c>
      <c r="D27">
        <v>2584736059</v>
      </c>
      <c r="E27">
        <v>178672550</v>
      </c>
      <c r="F27">
        <v>21296000001</v>
      </c>
    </row>
    <row r="28" spans="1:6" x14ac:dyDescent="0.3">
      <c r="A28">
        <v>2200</v>
      </c>
      <c r="B28">
        <v>6.2339960000000003</v>
      </c>
      <c r="C28">
        <v>2073696030</v>
      </c>
      <c r="D28">
        <v>2584277699</v>
      </c>
      <c r="E28">
        <v>178871169</v>
      </c>
      <c r="F28">
        <v>21296000001</v>
      </c>
    </row>
    <row r="29" spans="1:6" x14ac:dyDescent="0.3">
      <c r="A29">
        <v>2200</v>
      </c>
      <c r="B29">
        <v>6.2515330000000002</v>
      </c>
      <c r="C29">
        <v>2073659919</v>
      </c>
      <c r="D29">
        <v>2585941229</v>
      </c>
      <c r="E29">
        <v>178783840</v>
      </c>
      <c r="F29">
        <v>21296000001</v>
      </c>
    </row>
    <row r="30" spans="1:6" x14ac:dyDescent="0.3">
      <c r="B30" s="1">
        <f>AVERAGE(B26:B29)</f>
        <v>6.3052667499999995</v>
      </c>
      <c r="C30" s="1">
        <f t="shared" ref="C30:F30" si="9">AVERAGE(C26:C29)</f>
        <v>2073618799.25</v>
      </c>
      <c r="D30" s="1">
        <f t="shared" si="9"/>
        <v>2578741987</v>
      </c>
      <c r="E30" s="1">
        <f t="shared" si="9"/>
        <v>178782631.5</v>
      </c>
      <c r="F30" s="1">
        <f t="shared" si="9"/>
        <v>21296000001</v>
      </c>
    </row>
    <row r="31" spans="1:6" x14ac:dyDescent="0.3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</row>
    <row r="32" spans="1:6" x14ac:dyDescent="0.3">
      <c r="A32">
        <v>2600</v>
      </c>
      <c r="B32">
        <v>10.601746</v>
      </c>
      <c r="C32">
        <v>4412307736</v>
      </c>
      <c r="D32">
        <v>4196038815</v>
      </c>
      <c r="E32">
        <v>416493741</v>
      </c>
      <c r="F32">
        <v>35152000001</v>
      </c>
    </row>
    <row r="33" spans="1:6" x14ac:dyDescent="0.3">
      <c r="A33">
        <v>2600</v>
      </c>
      <c r="B33">
        <v>10.354963</v>
      </c>
      <c r="C33">
        <v>4412388579</v>
      </c>
      <c r="D33">
        <v>4213322929</v>
      </c>
      <c r="E33">
        <v>418075938</v>
      </c>
      <c r="F33">
        <v>35152000001</v>
      </c>
    </row>
    <row r="34" spans="1:6" x14ac:dyDescent="0.3">
      <c r="A34">
        <v>2600</v>
      </c>
      <c r="B34">
        <v>10.363078</v>
      </c>
      <c r="C34">
        <v>4412396603</v>
      </c>
      <c r="D34">
        <v>4213100677</v>
      </c>
      <c r="E34">
        <v>416616046</v>
      </c>
      <c r="F34">
        <v>35152000001</v>
      </c>
    </row>
    <row r="35" spans="1:6" x14ac:dyDescent="0.3">
      <c r="A35">
        <v>2600</v>
      </c>
      <c r="B35">
        <v>10.380617000000001</v>
      </c>
      <c r="C35">
        <v>4412384161</v>
      </c>
      <c r="D35">
        <v>4213757791</v>
      </c>
      <c r="E35">
        <v>417766252</v>
      </c>
      <c r="F35">
        <v>35152000001</v>
      </c>
    </row>
    <row r="36" spans="1:6" x14ac:dyDescent="0.3">
      <c r="B36" s="1">
        <f>AVERAGE(B32:B35)</f>
        <v>10.425101</v>
      </c>
      <c r="C36" s="1">
        <f t="shared" ref="C36:F36" si="10">AVERAGE(C32:C35)</f>
        <v>4412369269.75</v>
      </c>
      <c r="D36" s="1">
        <f t="shared" si="10"/>
        <v>4209055053</v>
      </c>
      <c r="E36" s="1">
        <f t="shared" si="10"/>
        <v>417237994.25</v>
      </c>
      <c r="F36" s="1">
        <f t="shared" si="10"/>
        <v>35152000001</v>
      </c>
    </row>
    <row r="37" spans="1:6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</row>
    <row r="38" spans="1:6" x14ac:dyDescent="0.3">
      <c r="A38">
        <v>3000</v>
      </c>
      <c r="B38">
        <v>16.148537000000001</v>
      </c>
      <c r="C38">
        <v>6779666503</v>
      </c>
      <c r="D38">
        <v>6400445100</v>
      </c>
      <c r="E38">
        <v>617974514</v>
      </c>
      <c r="F38">
        <v>54000000001</v>
      </c>
    </row>
    <row r="39" spans="1:6" x14ac:dyDescent="0.3">
      <c r="A39">
        <v>3000</v>
      </c>
      <c r="B39">
        <v>15.908737</v>
      </c>
      <c r="C39">
        <v>6779659798</v>
      </c>
      <c r="D39">
        <v>6396401097</v>
      </c>
      <c r="E39">
        <v>615429734</v>
      </c>
      <c r="F39">
        <v>54000000001</v>
      </c>
    </row>
    <row r="40" spans="1:6" x14ac:dyDescent="0.3">
      <c r="A40">
        <v>3000</v>
      </c>
      <c r="B40">
        <v>17.337232</v>
      </c>
      <c r="C40">
        <v>6779612450</v>
      </c>
      <c r="D40">
        <v>6349293349</v>
      </c>
      <c r="E40">
        <v>621152791</v>
      </c>
      <c r="F40">
        <v>54000000001</v>
      </c>
    </row>
    <row r="41" spans="1:6" x14ac:dyDescent="0.3">
      <c r="A41">
        <v>3000</v>
      </c>
      <c r="B41">
        <v>16.143056999999999</v>
      </c>
      <c r="C41">
        <v>6779642309</v>
      </c>
      <c r="D41">
        <v>6391771522</v>
      </c>
      <c r="E41">
        <v>617965967</v>
      </c>
      <c r="F41">
        <v>54000000001</v>
      </c>
    </row>
    <row r="42" spans="1:6" x14ac:dyDescent="0.3">
      <c r="B42" s="1">
        <f>AVERAGE(B38:B41)</f>
        <v>16.384390750000001</v>
      </c>
      <c r="C42" s="1">
        <f t="shared" ref="C42:F42" si="11">AVERAGE(C38:C41)</f>
        <v>6779645265</v>
      </c>
      <c r="D42" s="1">
        <f t="shared" si="11"/>
        <v>6384477767</v>
      </c>
      <c r="E42" s="1">
        <f t="shared" si="11"/>
        <v>618130751.5</v>
      </c>
      <c r="F42" s="1">
        <f t="shared" si="11"/>
        <v>54000000001</v>
      </c>
    </row>
    <row r="43" spans="1:6" x14ac:dyDescent="0.3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</row>
    <row r="44" spans="1:6" x14ac:dyDescent="0.3">
      <c r="A44">
        <v>4096</v>
      </c>
      <c r="B44">
        <v>41.221580000000003</v>
      </c>
      <c r="C44">
        <v>17531528220</v>
      </c>
      <c r="D44">
        <v>15929184654</v>
      </c>
      <c r="E44">
        <v>2938894685</v>
      </c>
      <c r="F44">
        <v>137438953473</v>
      </c>
    </row>
    <row r="45" spans="1:6" x14ac:dyDescent="0.3">
      <c r="A45">
        <v>4096</v>
      </c>
      <c r="B45">
        <v>41.139603999999999</v>
      </c>
      <c r="C45">
        <v>17532127058</v>
      </c>
      <c r="D45">
        <v>15928749517</v>
      </c>
      <c r="E45">
        <v>2811419889</v>
      </c>
      <c r="F45">
        <v>137438953473</v>
      </c>
    </row>
    <row r="46" spans="1:6" x14ac:dyDescent="0.3">
      <c r="B46" s="1">
        <f>AVERAGE(B44:B45)</f>
        <v>41.180592000000004</v>
      </c>
      <c r="C46" s="1">
        <f t="shared" ref="C46:F46" si="12">AVERAGE(C44:C45)</f>
        <v>17531827639</v>
      </c>
      <c r="D46" s="1">
        <f t="shared" si="12"/>
        <v>15928967085.5</v>
      </c>
      <c r="E46" s="1">
        <f t="shared" si="12"/>
        <v>2875157287</v>
      </c>
      <c r="F46" s="1">
        <f t="shared" si="12"/>
        <v>137438953473</v>
      </c>
    </row>
    <row r="47" spans="1:6" x14ac:dyDescent="0.3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</row>
    <row r="48" spans="1:6" x14ac:dyDescent="0.3">
      <c r="A48">
        <v>6144</v>
      </c>
      <c r="B48">
        <v>139.14946499999999</v>
      </c>
      <c r="C48">
        <v>59111175976</v>
      </c>
      <c r="D48">
        <v>53280481046</v>
      </c>
      <c r="E48">
        <v>9649916299</v>
      </c>
      <c r="F48">
        <v>463856467969</v>
      </c>
    </row>
    <row r="49" spans="1:6" x14ac:dyDescent="0.3">
      <c r="A49">
        <v>6144</v>
      </c>
      <c r="B49">
        <v>139.531586</v>
      </c>
      <c r="C49">
        <v>59105598544</v>
      </c>
      <c r="D49">
        <v>53345578848</v>
      </c>
      <c r="E49">
        <v>9703321960</v>
      </c>
      <c r="F49">
        <v>463856467969</v>
      </c>
    </row>
    <row r="50" spans="1:6" x14ac:dyDescent="0.3">
      <c r="B50" s="1">
        <f>AVERAGE(B48:B49)</f>
        <v>139.34052550000001</v>
      </c>
      <c r="C50" s="1">
        <f t="shared" ref="C50:F50" si="13">AVERAGE(C48:C49)</f>
        <v>59108387260</v>
      </c>
      <c r="D50" s="1">
        <f t="shared" si="13"/>
        <v>53313029947</v>
      </c>
      <c r="E50" s="1">
        <f t="shared" si="13"/>
        <v>9676619129.5</v>
      </c>
      <c r="F50" s="1">
        <f t="shared" si="13"/>
        <v>463856467969</v>
      </c>
    </row>
    <row r="51" spans="1:6" x14ac:dyDescent="0.3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</row>
    <row r="52" spans="1:6" x14ac:dyDescent="0.3">
      <c r="A52">
        <v>8192</v>
      </c>
      <c r="B52">
        <v>328.23785600000002</v>
      </c>
      <c r="C52">
        <v>140043864381</v>
      </c>
      <c r="D52">
        <v>128557196648</v>
      </c>
      <c r="E52">
        <v>23698855761</v>
      </c>
      <c r="F52">
        <v>1099511627777</v>
      </c>
    </row>
    <row r="53" spans="1:6" x14ac:dyDescent="0.3">
      <c r="A53">
        <v>8192</v>
      </c>
      <c r="B53">
        <v>327.83021100000002</v>
      </c>
      <c r="C53">
        <v>140040827321</v>
      </c>
      <c r="D53">
        <v>128811279354</v>
      </c>
      <c r="E53">
        <v>23026533222</v>
      </c>
      <c r="F53">
        <v>1099511627777</v>
      </c>
    </row>
    <row r="54" spans="1:6" x14ac:dyDescent="0.3">
      <c r="B54" s="1">
        <f>AVERAGE(B52:B53)</f>
        <v>328.03403350000002</v>
      </c>
      <c r="C54" s="1">
        <f t="shared" ref="C54:F54" si="14">AVERAGE(C52:C53)</f>
        <v>140042345851</v>
      </c>
      <c r="D54" s="1">
        <f t="shared" si="14"/>
        <v>128684238001</v>
      </c>
      <c r="E54" s="1">
        <f t="shared" si="14"/>
        <v>23362694491.5</v>
      </c>
      <c r="F54" s="1">
        <f t="shared" si="14"/>
        <v>1099511627777</v>
      </c>
    </row>
    <row r="55" spans="1:6" x14ac:dyDescent="0.3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</row>
    <row r="56" spans="1:6" x14ac:dyDescent="0.3">
      <c r="A56">
        <v>10240</v>
      </c>
      <c r="B56">
        <v>641.89094599999999</v>
      </c>
      <c r="C56">
        <v>273398107460</v>
      </c>
      <c r="D56">
        <v>251821162316</v>
      </c>
      <c r="E56">
        <v>44987475660</v>
      </c>
      <c r="F56">
        <v>2147483648001</v>
      </c>
    </row>
    <row r="57" spans="1:6" x14ac:dyDescent="0.3">
      <c r="A57">
        <v>10240</v>
      </c>
      <c r="B57">
        <v>641.81062399999996</v>
      </c>
      <c r="C57">
        <v>273394798303</v>
      </c>
      <c r="D57">
        <v>252033747322</v>
      </c>
      <c r="E57">
        <v>44468922279</v>
      </c>
      <c r="F57">
        <v>2147483648001</v>
      </c>
    </row>
    <row r="58" spans="1:6" x14ac:dyDescent="0.3">
      <c r="B58" s="1">
        <f>AVERAGE(B56:B57)</f>
        <v>641.85078499999997</v>
      </c>
      <c r="C58" s="1">
        <f t="shared" ref="C58:F58" si="15">AVERAGE(C56:C57)</f>
        <v>273396452881.5</v>
      </c>
      <c r="D58" s="1">
        <f t="shared" si="15"/>
        <v>251927454819</v>
      </c>
      <c r="E58" s="1">
        <f t="shared" si="15"/>
        <v>44728198969.5</v>
      </c>
      <c r="F58" s="1">
        <f t="shared" si="15"/>
        <v>2147483648001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5"/>
  <sheetViews>
    <sheetView topLeftCell="B16" zoomScale="85" zoomScaleNormal="85" workbookViewId="0">
      <selection activeCell="Q40" sqref="Q40"/>
    </sheetView>
  </sheetViews>
  <sheetFormatPr defaultRowHeight="14.4" x14ac:dyDescent="0.3"/>
  <cols>
    <col min="10" max="10" width="9" bestFit="1" customWidth="1"/>
    <col min="11" max="12" width="16.6640625" bestFit="1" customWidth="1"/>
    <col min="13" max="13" width="12.44140625" bestFit="1" customWidth="1"/>
    <col min="14" max="14" width="11.33203125" bestFit="1" customWidth="1"/>
  </cols>
  <sheetData>
    <row r="1" spans="1:20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20" x14ac:dyDescent="0.3">
      <c r="A2">
        <v>4096</v>
      </c>
      <c r="B2">
        <v>128</v>
      </c>
      <c r="C2">
        <v>35.880271</v>
      </c>
      <c r="D2">
        <v>9930296769</v>
      </c>
      <c r="E2">
        <v>33373492234</v>
      </c>
      <c r="F2">
        <v>1758631285</v>
      </c>
      <c r="G2">
        <v>137438953473</v>
      </c>
      <c r="I2" s="5">
        <v>128</v>
      </c>
      <c r="J2" s="5" t="s">
        <v>10</v>
      </c>
      <c r="K2" s="5" t="s">
        <v>11</v>
      </c>
      <c r="L2" s="5" t="s">
        <v>12</v>
      </c>
      <c r="M2" s="5" t="s">
        <v>5</v>
      </c>
      <c r="N2" s="5" t="s">
        <v>13</v>
      </c>
    </row>
    <row r="3" spans="1:20" x14ac:dyDescent="0.3">
      <c r="I3">
        <v>4096</v>
      </c>
      <c r="J3">
        <f>$C2</f>
        <v>35.880271</v>
      </c>
      <c r="K3">
        <f>$D2</f>
        <v>9930296769</v>
      </c>
      <c r="L3">
        <f>E2</f>
        <v>33373492234</v>
      </c>
      <c r="M3">
        <f>$F2</f>
        <v>1758631285</v>
      </c>
      <c r="N3">
        <f>M3/J3</f>
        <v>49013879.661053844</v>
      </c>
    </row>
    <row r="4" spans="1:20" x14ac:dyDescent="0.3">
      <c r="A4" t="s">
        <v>0</v>
      </c>
      <c r="B4" t="s">
        <v>9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I4">
        <v>6114</v>
      </c>
      <c r="J4">
        <f>$C11</f>
        <v>120.780978</v>
      </c>
      <c r="K4">
        <f>$D11</f>
        <v>33524708788</v>
      </c>
      <c r="L4">
        <f>E11</f>
        <v>114168542071</v>
      </c>
      <c r="M4">
        <f>$F11</f>
        <v>5962990776</v>
      </c>
      <c r="N4">
        <f t="shared" ref="N4:N6" si="0">M4/J4</f>
        <v>49370280.608259358</v>
      </c>
    </row>
    <row r="5" spans="1:20" x14ac:dyDescent="0.3">
      <c r="A5">
        <v>4096</v>
      </c>
      <c r="B5">
        <v>256</v>
      </c>
      <c r="C5">
        <v>32.898310000000002</v>
      </c>
      <c r="D5">
        <v>9145163778</v>
      </c>
      <c r="E5">
        <v>23236856608</v>
      </c>
      <c r="F5">
        <v>1138776928</v>
      </c>
      <c r="G5">
        <v>137438953473</v>
      </c>
      <c r="I5">
        <v>8192</v>
      </c>
      <c r="J5">
        <f>$C20</f>
        <v>285.986107</v>
      </c>
      <c r="K5">
        <f>$D20</f>
        <v>79474494275</v>
      </c>
      <c r="L5">
        <f>E20</f>
        <v>270278893418</v>
      </c>
      <c r="M5">
        <f>$F20</f>
        <v>14193350115</v>
      </c>
      <c r="N5">
        <f t="shared" si="0"/>
        <v>49629509.153044276</v>
      </c>
      <c r="O5" s="5" t="s">
        <v>10</v>
      </c>
      <c r="P5" s="5" t="s">
        <v>11</v>
      </c>
      <c r="Q5" s="5" t="s">
        <v>12</v>
      </c>
      <c r="R5" s="5" t="s">
        <v>5</v>
      </c>
      <c r="S5" s="5" t="s">
        <v>13</v>
      </c>
      <c r="T5" s="5">
        <v>256</v>
      </c>
    </row>
    <row r="6" spans="1:20" x14ac:dyDescent="0.3">
      <c r="I6">
        <v>10240</v>
      </c>
      <c r="J6" s="3">
        <f>$C29</f>
        <v>556.01564399999995</v>
      </c>
      <c r="K6" s="6">
        <f>$D29</f>
        <v>155189676861</v>
      </c>
      <c r="L6" s="6">
        <f>$E29</f>
        <v>528805382780</v>
      </c>
      <c r="M6" s="6">
        <f>$E29</f>
        <v>528805382780</v>
      </c>
      <c r="N6">
        <f t="shared" si="0"/>
        <v>951062058.21072197</v>
      </c>
      <c r="O6">
        <f>$C5</f>
        <v>32.898310000000002</v>
      </c>
      <c r="P6">
        <f>$D5</f>
        <v>9145163778</v>
      </c>
      <c r="Q6">
        <f>$E5</f>
        <v>23236856608</v>
      </c>
      <c r="R6">
        <f>$F5</f>
        <v>1138776928</v>
      </c>
      <c r="S6">
        <f>R6/O6</f>
        <v>34615058.58507625</v>
      </c>
      <c r="T6">
        <v>4096</v>
      </c>
    </row>
    <row r="7" spans="1:20" x14ac:dyDescent="0.3">
      <c r="A7" t="s">
        <v>0</v>
      </c>
      <c r="B7" t="s">
        <v>9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O7">
        <f>$C14</f>
        <v>111.42657199999999</v>
      </c>
      <c r="P7">
        <f>$D14</f>
        <v>30870250933</v>
      </c>
      <c r="Q7">
        <f>$E14</f>
        <v>78945517963</v>
      </c>
      <c r="R7">
        <f>$F14</f>
        <v>3882550992</v>
      </c>
      <c r="S7">
        <f t="shared" ref="S7:S9" si="1">R7/O7</f>
        <v>34844031.565468967</v>
      </c>
      <c r="T7">
        <v>6114</v>
      </c>
    </row>
    <row r="8" spans="1:20" x14ac:dyDescent="0.3">
      <c r="A8">
        <v>4096</v>
      </c>
      <c r="B8">
        <v>512</v>
      </c>
      <c r="C8">
        <v>39.378180999999998</v>
      </c>
      <c r="D8">
        <v>8757499739</v>
      </c>
      <c r="E8">
        <v>19063212316</v>
      </c>
      <c r="F8">
        <v>883590379</v>
      </c>
      <c r="G8">
        <v>137438953473</v>
      </c>
      <c r="I8" s="5">
        <v>512</v>
      </c>
      <c r="J8" s="5" t="s">
        <v>10</v>
      </c>
      <c r="K8" s="5" t="s">
        <v>11</v>
      </c>
      <c r="L8" s="5" t="s">
        <v>12</v>
      </c>
      <c r="M8" s="5" t="s">
        <v>5</v>
      </c>
      <c r="N8" s="5" t="s">
        <v>13</v>
      </c>
      <c r="O8">
        <f>$C23</f>
        <v>399.63598300000001</v>
      </c>
      <c r="P8">
        <f>$D23</f>
        <v>73362665145</v>
      </c>
      <c r="Q8">
        <f>$E23</f>
        <v>160793515495</v>
      </c>
      <c r="R8">
        <f>$F23</f>
        <v>9838447672</v>
      </c>
      <c r="S8">
        <f t="shared" si="1"/>
        <v>24618523.082292117</v>
      </c>
      <c r="T8">
        <v>8192</v>
      </c>
    </row>
    <row r="9" spans="1:20" x14ac:dyDescent="0.3">
      <c r="I9">
        <v>4096</v>
      </c>
      <c r="J9">
        <f>$C8</f>
        <v>39.378180999999998</v>
      </c>
      <c r="K9">
        <f>$D8</f>
        <v>8757499739</v>
      </c>
      <c r="L9">
        <f>$E8</f>
        <v>19063212316</v>
      </c>
      <c r="M9">
        <f>$F8</f>
        <v>883590379</v>
      </c>
      <c r="N9">
        <f>M9/J9</f>
        <v>22438577.825623792</v>
      </c>
      <c r="O9">
        <f>$C32</f>
        <v>514.11588600000005</v>
      </c>
      <c r="P9">
        <f>$D32</f>
        <v>142900735125</v>
      </c>
      <c r="Q9">
        <f>$E32</f>
        <v>365906951708</v>
      </c>
      <c r="R9" s="6">
        <f>$E32</f>
        <v>365906951708</v>
      </c>
      <c r="S9">
        <f t="shared" si="1"/>
        <v>711720765.04945803</v>
      </c>
      <c r="T9">
        <v>10240</v>
      </c>
    </row>
    <row r="10" spans="1:20" x14ac:dyDescent="0.3">
      <c r="A10" t="s">
        <v>0</v>
      </c>
      <c r="B10" t="s">
        <v>9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I10">
        <v>6114</v>
      </c>
      <c r="J10">
        <f>$C17</f>
        <v>108.37035299999999</v>
      </c>
      <c r="K10">
        <f>$D17</f>
        <v>29616352112</v>
      </c>
      <c r="L10">
        <f>$E17</f>
        <v>66431230599</v>
      </c>
      <c r="M10">
        <f>$F17</f>
        <v>2623623893</v>
      </c>
      <c r="N10">
        <f t="shared" ref="N10:N12" si="2">M10/J10</f>
        <v>24209793.733900636</v>
      </c>
    </row>
    <row r="11" spans="1:20" x14ac:dyDescent="0.3">
      <c r="A11">
        <v>6144</v>
      </c>
      <c r="B11">
        <v>128</v>
      </c>
      <c r="C11">
        <v>120.780978</v>
      </c>
      <c r="D11">
        <v>33524708788</v>
      </c>
      <c r="E11">
        <v>114168542071</v>
      </c>
      <c r="F11">
        <v>5962990776</v>
      </c>
      <c r="G11">
        <v>463856467969</v>
      </c>
      <c r="I11">
        <v>8192</v>
      </c>
      <c r="J11">
        <f>$C26</f>
        <v>339.74439699999999</v>
      </c>
      <c r="K11">
        <f>$D26</f>
        <v>70205237625</v>
      </c>
      <c r="L11">
        <f>$E26</f>
        <v>134769215287</v>
      </c>
      <c r="M11">
        <f>$F26</f>
        <v>7057921361</v>
      </c>
      <c r="N11">
        <f t="shared" si="2"/>
        <v>20774209.739211682</v>
      </c>
    </row>
    <row r="12" spans="1:20" x14ac:dyDescent="0.3">
      <c r="I12">
        <v>10240</v>
      </c>
      <c r="J12" s="3">
        <f>$C35</f>
        <v>507.41968600000001</v>
      </c>
      <c r="K12" s="6">
        <f>$D35</f>
        <v>136887781941</v>
      </c>
      <c r="L12" s="6">
        <f>$E35</f>
        <v>307175328292</v>
      </c>
      <c r="M12" s="6">
        <f>$E35</f>
        <v>307175328292</v>
      </c>
      <c r="N12">
        <f t="shared" si="2"/>
        <v>605367384.76480782</v>
      </c>
    </row>
    <row r="13" spans="1:20" x14ac:dyDescent="0.3">
      <c r="A13" t="s">
        <v>0</v>
      </c>
      <c r="B13" t="s">
        <v>9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</row>
    <row r="14" spans="1:20" x14ac:dyDescent="0.3">
      <c r="A14">
        <v>6144</v>
      </c>
      <c r="B14">
        <v>256</v>
      </c>
      <c r="C14">
        <v>111.42657199999999</v>
      </c>
      <c r="D14">
        <v>30870250933</v>
      </c>
      <c r="E14">
        <v>78945517963</v>
      </c>
      <c r="F14">
        <v>3882550992</v>
      </c>
      <c r="G14">
        <v>463856467969</v>
      </c>
    </row>
    <row r="16" spans="1:20" x14ac:dyDescent="0.3">
      <c r="A16" t="s">
        <v>0</v>
      </c>
      <c r="B16" t="s">
        <v>9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</row>
    <row r="17" spans="1:7" x14ac:dyDescent="0.3">
      <c r="A17">
        <v>6144</v>
      </c>
      <c r="B17">
        <v>512</v>
      </c>
      <c r="C17">
        <v>108.37035299999999</v>
      </c>
      <c r="D17">
        <v>29616352112</v>
      </c>
      <c r="E17">
        <v>66431230599</v>
      </c>
      <c r="F17">
        <v>2623623893</v>
      </c>
      <c r="G17">
        <v>463856467969</v>
      </c>
    </row>
    <row r="19" spans="1:7" x14ac:dyDescent="0.3">
      <c r="A19" t="s">
        <v>0</v>
      </c>
      <c r="B19" t="s">
        <v>9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</row>
    <row r="20" spans="1:7" x14ac:dyDescent="0.3">
      <c r="A20">
        <v>8192</v>
      </c>
      <c r="B20">
        <v>128</v>
      </c>
      <c r="C20">
        <v>285.986107</v>
      </c>
      <c r="D20">
        <v>79474494275</v>
      </c>
      <c r="E20">
        <v>270278893418</v>
      </c>
      <c r="F20">
        <v>14193350115</v>
      </c>
      <c r="G20">
        <v>1099511627777</v>
      </c>
    </row>
    <row r="22" spans="1:7" x14ac:dyDescent="0.3">
      <c r="A22" t="s">
        <v>0</v>
      </c>
      <c r="B22" t="s">
        <v>9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</row>
    <row r="23" spans="1:7" x14ac:dyDescent="0.3">
      <c r="A23">
        <v>8192</v>
      </c>
      <c r="B23">
        <v>256</v>
      </c>
      <c r="C23">
        <v>399.63598300000001</v>
      </c>
      <c r="D23">
        <v>73362665145</v>
      </c>
      <c r="E23">
        <v>160793515495</v>
      </c>
      <c r="F23">
        <v>9838447672</v>
      </c>
      <c r="G23">
        <v>1099511627777</v>
      </c>
    </row>
    <row r="25" spans="1:7" x14ac:dyDescent="0.3">
      <c r="A25" t="s">
        <v>0</v>
      </c>
      <c r="B25" t="s">
        <v>9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</row>
    <row r="26" spans="1:7" x14ac:dyDescent="0.3">
      <c r="A26">
        <v>8192</v>
      </c>
      <c r="B26">
        <v>512</v>
      </c>
      <c r="C26">
        <v>339.74439699999999</v>
      </c>
      <c r="D26">
        <v>70205237625</v>
      </c>
      <c r="E26">
        <v>134769215287</v>
      </c>
      <c r="F26">
        <v>7057921361</v>
      </c>
      <c r="G26">
        <v>1099511627777</v>
      </c>
    </row>
    <row r="28" spans="1:7" x14ac:dyDescent="0.3">
      <c r="A28" t="s">
        <v>0</v>
      </c>
      <c r="B28" t="s">
        <v>9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</row>
    <row r="29" spans="1:7" x14ac:dyDescent="0.3">
      <c r="A29">
        <v>10240</v>
      </c>
      <c r="B29">
        <v>128</v>
      </c>
      <c r="C29">
        <v>556.01564399999995</v>
      </c>
      <c r="D29">
        <v>155189676861</v>
      </c>
      <c r="E29">
        <v>528805382780</v>
      </c>
      <c r="F29">
        <v>27468597342</v>
      </c>
      <c r="G29">
        <v>2147483648001</v>
      </c>
    </row>
    <row r="31" spans="1:7" x14ac:dyDescent="0.3">
      <c r="A31" t="s">
        <v>0</v>
      </c>
      <c r="B31" t="s">
        <v>9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</row>
    <row r="32" spans="1:7" x14ac:dyDescent="0.3">
      <c r="A32">
        <v>10240</v>
      </c>
      <c r="B32">
        <v>256</v>
      </c>
      <c r="C32">
        <v>514.11588600000005</v>
      </c>
      <c r="D32">
        <v>142900735125</v>
      </c>
      <c r="E32">
        <v>365906951708</v>
      </c>
      <c r="F32">
        <v>17876563770</v>
      </c>
      <c r="G32">
        <v>2147483648001</v>
      </c>
    </row>
    <row r="34" spans="1:7" x14ac:dyDescent="0.3">
      <c r="A34" t="s">
        <v>0</v>
      </c>
      <c r="B34" t="s">
        <v>9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</row>
    <row r="35" spans="1:7" x14ac:dyDescent="0.3">
      <c r="A35">
        <v>10240</v>
      </c>
      <c r="B35">
        <v>512</v>
      </c>
      <c r="C35">
        <v>507.41968600000001</v>
      </c>
      <c r="D35">
        <v>136887781941</v>
      </c>
      <c r="E35">
        <v>307175328292</v>
      </c>
      <c r="F35">
        <v>12474841185</v>
      </c>
      <c r="G35">
        <v>2147483648001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I1" zoomScale="85" zoomScaleNormal="85" workbookViewId="0">
      <selection activeCell="V24" sqref="V2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topLeftCell="A11" zoomScaleNormal="100" workbookViewId="0">
      <selection activeCell="U19" sqref="U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10" sqref="A1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OnMult_test</vt:lpstr>
      <vt:lpstr>OnMultLine_test</vt:lpstr>
      <vt:lpstr>OnMultBlock_test</vt:lpstr>
      <vt:lpstr>Mult vs MultLine</vt:lpstr>
      <vt:lpstr>LineVsBlock</vt:lpstr>
      <vt:lpstr>Lua vs C++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</dc:creator>
  <cp:lastModifiedBy>Utilizador</cp:lastModifiedBy>
  <dcterms:created xsi:type="dcterms:W3CDTF">2023-03-10T18:42:21Z</dcterms:created>
  <dcterms:modified xsi:type="dcterms:W3CDTF">2023-03-11T23:48:19Z</dcterms:modified>
</cp:coreProperties>
</file>